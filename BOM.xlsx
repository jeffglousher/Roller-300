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43cac8260d4495" /></Relationships>
</file>

<file path=xl/workbook.xml><?xml version="1.0" encoding="utf-8"?>
<x:workbook xmlns:x="http://schemas.openxmlformats.org/spreadsheetml/2006/main">
  <x:sheets>
    <x:sheet xmlns:r="http://schemas.openxmlformats.org/officeDocument/2006/relationships" name="BOM" sheetId="1" r:id="Rb2dd67bfaa154e1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Red](0);&quot;-&quot;"/>
    <x:numFmt numFmtId="202" formatCode="$0.00;[Red]($0.00);&quot;-&quot;"/>
    <x:numFmt numFmtId="203" formatCode="0;[Red](0);–"/>
    <x:numFmt numFmtId="204" formatCode="$0.00;[Red]($0.00);–"/>
    <x:numFmt numFmtId="205" formatCode="0.000"/>
  </x:numFmts>
  <x:fonts count="9">
    <x:font>
      <x:sz val="11"/>
      <x:name val="Carlito"/>
    </x:font>
    <x:font>
      <x:sz val="10"/>
      <x:color rgb="FF203444"/>
      <x:name val="Arial"/>
    </x:font>
    <x:font>
      <x:b/>
      <x:sz val="20"/>
      <x:color rgb="FFFFFFFF"/>
      <x:name val="Arial"/>
    </x:font>
    <x:font>
      <x:sz val="11"/>
      <x:color rgb="FF203F4B"/>
      <x:name val="Arial"/>
    </x:font>
    <x:font>
      <x:b/>
      <x:sz val="16"/>
      <x:color rgb="FF1D5A44"/>
      <x:name val="Arial"/>
    </x:font>
    <x:font>
      <x:b/>
      <x:sz val="10"/>
      <x:color rgb="FFFFFFFF"/>
      <x:name val="Arial"/>
    </x:font>
    <x:font>
      <x:sz val="10"/>
      <x:color rgb="FF2166B1"/>
      <x:name val="Arial"/>
    </x:font>
    <x:font>
      <x:sz val="9"/>
      <x:color rgb="FF287277"/>
      <x:name val="Arial"/>
    </x:font>
    <x:font>
      <x:sz val="9"/>
      <x:color rgb="FF203444"/>
      <x:name val="Arial"/>
    </x:font>
  </x:fonts>
  <x:fills count="5">
    <x:fill>
      <x:patternFill patternType="none"/>
    </x:fill>
    <x:fill>
      <x:patternFill patternType="gray125"/>
    </x:fill>
    <x:fill>
      <x:patternFill patternType="solid">
        <x:fgColor rgb="FF203F4B"/>
      </x:patternFill>
    </x:fill>
    <x:fill>
      <x:patternFill patternType="solid">
        <x:fgColor rgb="FFDFECEC"/>
      </x:patternFill>
    </x:fill>
    <x:fill>
      <x:patternFill patternType="solid">
        <x:fgColor rgb="FFD8EDE4"/>
      </x:patternFill>
    </x:fill>
  </x:fills>
  <x:borders count="1">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200" fontId="1" fillId="0" borderId="0" xfId="0" applyNumberFormat="1" applyFont="1" applyFill="1" applyBorder="1"/>
    <x:xf numFmtId="0" fontId="1" fillId="4" borderId="0" xfId="0" applyNumberFormat="1" applyFont="1" applyFill="1" applyBorder="1"/>
    <x:xf numFmtId="200" fontId="1" fillId="4" borderId="0" xfId="0" applyNumberFormat="1" applyFont="1" applyFill="1" applyBorder="1"/>
    <x:xf numFmtId="200" fontId="4" fillId="4" borderId="0" xfId="0" applyNumberFormat="1" applyFont="1" applyFill="1" applyBorder="1"/>
    <x:xf numFmtId="200" fontId="1" fillId="3" borderId="0" xfId="0" applyNumberFormat="1" applyFont="1" applyFill="1" applyBorder="1"/>
    <x:xf numFmtId="200" fontId="4" fillId="3"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203" fontId="6" fillId="0" borderId="0" xfId="0" applyNumberFormat="1" applyFont="1" applyFill="1" applyBorder="1" applyAlignment="1">
      <x:alignment vertical="center" wrapText="1"/>
    </x:xf>
    <x:xf numFmtId="204" fontId="6"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205" fontId="1" fillId="0" borderId="0" xfId="0" applyNumberFormat="1" applyFont="1" applyFill="1" applyBorder="1"/>
    <x:xf numFmtId="200" fontId="6" fillId="0" borderId="0" xfId="0" applyNumberFormat="1" applyFont="1" applyFill="1" applyBorder="1"/>
  </x:cellXfs>
  <x:cellStyles count="1">
    <x:cellStyle name="Normal" xfId="0"/>
  </x:cellStyles>
  <x:dxfs count="3">
    <x:dxf>
      <x:font>
        <x:b/>
        <x:color rgb="FF865422"/>
      </x:font>
      <x:fill>
        <x:patternFill patternType="solid">
          <x:bgColor rgb="FFFCE3C9"/>
        </x:patternFill>
      </x:fill>
    </x:dxf>
    <x:dxf>
      <x:font>
        <x:b/>
        <x:color rgb="FF1D5A44"/>
      </x:font>
      <x:fill>
        <x:patternFill patternType="solid">
          <x:bgColor rgb="FFD8EDE4"/>
        </x:patternFill>
      </x:fill>
    </x:dxf>
    <x:dxf>
      <x:fill>
        <x:patternFill patternType="solid">
          <x:bgColor rgb="FFE4EC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402d14f1be4cdb" /><Relationship Type="http://schemas.openxmlformats.org/officeDocument/2006/relationships/theme" Target="/xl/theme/theme1.xml" Id="R2c8564c55989416c" /><Relationship Type="http://schemas.openxmlformats.org/officeDocument/2006/relationships/sharedStrings" Target="/xl/sharedStrings.xml" Id="R71ec716ee78f4fe0" /><Relationship Type="http://schemas.openxmlformats.org/officeDocument/2006/relationships/worksheet" Target="/xl/worksheets/sheet1.xml" Id="Rb2dd67bfaa154e1a" /></Relationships>
</file>

<file path=xl/tables/table1.xml><?xml version="1.0" encoding="utf-8"?>
<x:table xmlns:x="http://schemas.openxmlformats.org/spreadsheetml/2006/main" id="1" name="RollerBOM" displayName="RollerBOM" ref="A9:Q73" headerRowCount="1" totalsRowCount="0" totalsRowShown="0">
  <x:autoFilter ref="A9:Q73"/>
  <x:tableColumns count="17">
    <x:tableColumn id="1" name="ID"/>
    <x:tableColumn id="2" name="Part / exact model"/>
    <x:tableColumn id="3" name="Stage"/>
    <x:tableColumn id="4" name="Vehicle qty"/>
    <x:tableColumn id="5" name="First target"/>
    <x:tableColumn id="6" name="Owned"/>
    <x:tableColumn id="7" name="Ordered"/>
    <x:tableColumn id="8" name="Buy qty"/>
    <x:tableColumn id="9" name="Pack qty"/>
    <x:tableColumn id="10" name="Pack USD"/>
    <x:tableColumn id="11" name="Buy USD"/>
    <x:tableColumn id="12" name="Source"/>
    <x:tableColumn id="13" name="Checked"/>
    <x:tableColumn id="14" name="Reason / sizing / purchase gate"/>
    <x:tableColumn id="15" name="Group"/>
    <x:tableColumn id="16" name="Vehicle buy qty"/>
    <x:tableColumn id="17" name="Vehicle buy US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286e46b5ac94b0a" /></Relationships>
</file>

<file path=xl/worksheets/sheet1.xml><?xml version="1.0" encoding="utf-8"?>
<x:worksheet xmlns:x="http://schemas.openxmlformats.org/spreadsheetml/2006/main">
  <x:sheetViews>
    <x:sheetView showGridLines="0" workbookViewId="0">
      <x:pane xSplit="2" ySplit="9" topLeftCell="C10" activePane="bottomRight" state="frozen"/>
    </x:sheetView>
  </x:sheetViews>
  <x:sheetFormatPr defaultRowHeight="15"/>
  <x:cols>
    <x:col min="1" max="1" width="7" hidden="0" customWidth="1"/>
    <x:col min="2" max="2" width="43" hidden="0" customWidth="1"/>
    <x:col min="3" max="3" width="17" hidden="0" customWidth="1"/>
    <x:col min="4" max="4" width="10" hidden="0" customWidth="1"/>
    <x:col min="5" max="5" width="10" hidden="0" customWidth="1"/>
    <x:col min="6" max="6" width="9" hidden="0" customWidth="1"/>
    <x:col min="7" max="7" width="10" hidden="0" customWidth="1"/>
    <x:col min="8" max="8" width="9" hidden="0" customWidth="1"/>
    <x:col min="9" max="9" width="9" hidden="0" customWidth="1"/>
    <x:col min="10" max="10" width="12" hidden="0" customWidth="1"/>
    <x:col min="11" max="11" width="12" hidden="0" customWidth="1"/>
    <x:col min="12" max="12" width="37" hidden="0" customWidth="1"/>
    <x:col min="13" max="13" width="13" hidden="0" customWidth="1"/>
    <x:col min="14" max="14" width="66" hidden="0" customWidth="1"/>
    <x:col min="15" max="15" width="15" hidden="0" customWidth="1"/>
    <x:col min="16" max="16" width="13" hidden="0" customWidth="1"/>
    <x:col min="17" max="17" width="14" hidden="0" customWidth="1"/>
  </x:cols>
  <x:sheetData>
    <x:row r="1" ht="38" customHeight="1">
      <x:c r="A1" s="3" t="str">
        <x:v>ROLLER-300  |  FIRST INDOOR BUILD</x:v>
      </x:c>
      <x:c r="B1" s="3"/>
      <x:c r="C1" s="3"/>
      <x:c r="D1" s="3"/>
      <x:c r="E1" s="3"/>
      <x:c r="F1" s="3"/>
      <x:c r="G1" s="3"/>
      <x:c r="H1" s="3"/>
      <x:c r="I1" s="3"/>
      <x:c r="J1" s="3"/>
      <x:c r="K1" s="3"/>
      <x:c r="L1" s="3"/>
      <x:c r="M1" s="3"/>
      <x:c r="N1" s="3"/>
      <x:c r="O1" s="3"/>
      <x:c r="P1" s="1"/>
      <x:c r="Q1" s="1"/>
    </x:row>
    <x:row r="2" ht="29" customHeight="1">
      <x:c r="A2" s="5" t="str">
        <x:v>S21 chassis fit / positive REX belt | PETG / 0.4 mm X2D | Unpowered ONE-drive fit; received hardware seating and endplay checks remain.</x:v>
      </x:c>
      <x:c r="B2" s="5"/>
      <x:c r="C2" s="5"/>
      <x:c r="D2" s="5"/>
      <x:c r="E2" s="5"/>
      <x:c r="F2" s="5"/>
      <x:c r="G2" s="5"/>
      <x:c r="H2" s="5"/>
      <x:c r="I2" s="5"/>
      <x:c r="J2" s="5"/>
      <x:c r="K2" s="5"/>
      <x:c r="L2" s="5"/>
      <x:c r="M2" s="5"/>
      <x:c r="N2" s="5"/>
      <x:c r="O2" s="5"/>
      <x:c r="P2" s="1"/>
      <x:c r="Q2" s="1"/>
    </x:row>
    <x:row r="3" ht="28" customHeight="1">
      <x:c r="A3" s="7" t="str">
        <x:v>PRICED FIRST-PURCHASE SUBTOTAL</x:v>
      </x:c>
      <x:c r="B3" s="7"/>
      <x:c r="C3" s="7"/>
      <x:c r="D3" s="7"/>
      <x:c r="E3" s="9" t="n">
        <x:f>SUM(K10:K73)</x:f>
        <x:v>100.12</x:v>
      </x:c>
      <x:c r="F3" s="1" t="str">
        <x:v>USD; partial subtotal excludes tax, shipping, filament and unresolved items. Included-kit rows are charged in H21.</x:v>
      </x:c>
      <x:c r="G3" s="1"/>
      <x:c r="H3" s="1"/>
      <x:c r="I3" s="1"/>
      <x:c r="J3" s="1"/>
      <x:c r="K3" s="1"/>
      <x:c r="L3" s="1"/>
      <x:c r="M3" s="1"/>
      <x:c r="N3" s="1"/>
      <x:c r="O3" s="1"/>
      <x:c r="P3" s="1"/>
      <x:c r="Q3" s="1"/>
    </x:row>
    <x:row r="4" ht="24" customHeight="1">
      <x:c r="A4" s="1" t="str">
        <x:v>Blue cells are editable quantities/prices. Blank Owned means unconfirmed; quantities are conservative shopping needs, not orders.</x:v>
      </x:c>
      <x:c r="B4" s="1"/>
      <x:c r="C4" s="1"/>
      <x:c r="D4" s="1"/>
      <x:c r="E4" s="1"/>
      <x:c r="F4" s="1"/>
      <x:c r="G4" s="1"/>
      <x:c r="H4" s="1"/>
      <x:c r="I4" s="1"/>
      <x:c r="J4" s="1"/>
      <x:c r="K4" s="1"/>
      <x:c r="L4" s="1"/>
      <x:c r="M4" s="1"/>
      <x:c r="N4" s="1"/>
      <x:c r="O4" s="1"/>
      <x:c r="P4" s="1"/>
      <x:c r="Q4" s="1"/>
    </x:row>
    <x:row r="5" ht="24" customHeight="1">
      <x:c r="A5" s="1" t="str">
        <x:v>Buy qty = max(first target - owned - ordered, 0); packs round up. H21 covers H11 nuts. Retired clutch and input clamp rows have zero target quantities.</x:v>
      </x:c>
      <x:c r="B5" s="1"/>
      <x:c r="C5" s="1"/>
      <x:c r="D5" s="1"/>
      <x:c r="E5" s="1"/>
      <x:c r="F5" s="1"/>
      <x:c r="G5" s="1"/>
      <x:c r="H5" s="1"/>
      <x:c r="I5" s="1"/>
      <x:c r="J5" s="1"/>
      <x:c r="K5" s="1"/>
      <x:c r="L5" s="1"/>
      <x:c r="M5" s="1"/>
      <x:c r="N5" s="1"/>
      <x:c r="O5" s="1"/>
      <x:c r="P5" s="1"/>
      <x:c r="Q5" s="1"/>
    </x:row>
    <x:row r="6" ht="24" customHeight="1">
      <x:c r="A6" s="1" t="str">
        <x:v>Source URLs are beside each row. Exact catalog sourcing does not qualify physical fit. Historical supplier references remain on retired/deferred rows.</x:v>
      </x:c>
      <x:c r="B6" s="1"/>
      <x:c r="C6" s="1"/>
      <x:c r="D6" s="1"/>
      <x:c r="E6" s="1"/>
      <x:c r="F6" s="1"/>
      <x:c r="G6" s="1"/>
      <x:c r="H6" s="1"/>
      <x:c r="I6" s="1"/>
      <x:c r="J6" s="1"/>
      <x:c r="K6" s="1"/>
      <x:c r="L6" s="1"/>
      <x:c r="M6" s="1"/>
      <x:c r="N6" s="1"/>
      <x:c r="O6" s="1"/>
      <x:c r="P6" s="1"/>
      <x:c r="Q6" s="1"/>
    </x:row>
    <x:row r="7" ht="24" customHeight="1">
      <x:c r="A7" s="1" t="str">
        <x:v>ServoCity mechanics + Amazon belt/M3 kit. H08:16 M3x12 bearing screws/drive. H27:4 M3x10 servo-ear screws/drive; source/price check remains.</x:v>
      </x:c>
      <x:c r="B7" s="1"/>
      <x:c r="C7" s="1"/>
      <x:c r="D7" s="1"/>
      <x:c r="E7" s="1"/>
      <x:c r="F7" s="1"/>
      <x:c r="G7" s="1"/>
      <x:c r="H7" s="1"/>
      <x:c r="I7" s="1"/>
      <x:c r="J7" s="1"/>
      <x:c r="K7" s="1"/>
      <x:c r="L7" s="1"/>
      <x:c r="M7" s="1"/>
      <x:c r="N7" s="1"/>
      <x:c r="O7" s="1"/>
      <x:c r="P7" s="1"/>
      <x:c r="Q7" s="1"/>
    </x:row>
    <x:row r="8" ht="30" customHeight="1">
      <x:c r="A8" s="4" t="str">
        <x:v>PRICED TWO-DRIVE PURCHASE SUBTOTAL</x:v>
      </x:c>
      <x:c r="B8" s="4"/>
      <x:c r="C8" s="4"/>
      <x:c r="D8" s="4"/>
      <x:c r="E8" s="11" t="n">
        <x:f>SUM(Q10:Q73)</x:f>
        <x:v>173.58999999999997</x:v>
      </x:c>
      <x:c r="F8" s="4" t="str">
        <x:v>Credits confirmed owned/ordered quantities. Includes one additional servo; unpriced parts, prints and final electronics excluded.</x:v>
      </x:c>
      <x:c r="G8" s="4"/>
      <x:c r="H8" s="4"/>
      <x:c r="I8" s="4"/>
      <x:c r="J8" s="4"/>
      <x:c r="K8" s="4"/>
      <x:c r="L8" s="4"/>
      <x:c r="M8" s="4"/>
      <x:c r="N8" s="4"/>
      <x:c r="O8" s="4"/>
      <x:c r="P8" s="4"/>
      <x:c r="Q8" s="4"/>
    </x:row>
    <x:row r="9" ht="31" customHeight="1">
      <x:c r="A9" s="13" t="str">
        <x:v>ID</x:v>
      </x:c>
      <x:c r="B9" s="13" t="str">
        <x:v>Part / exact model</x:v>
      </x:c>
      <x:c r="C9" s="13" t="str">
        <x:v>Stage</x:v>
      </x:c>
      <x:c r="D9" s="13" t="str">
        <x:v>Vehicle qty</x:v>
      </x:c>
      <x:c r="E9" s="13" t="str">
        <x:v>First target</x:v>
      </x:c>
      <x:c r="F9" s="13" t="str">
        <x:v>Owned</x:v>
      </x:c>
      <x:c r="G9" s="13" t="str">
        <x:v>Ordered</x:v>
      </x:c>
      <x:c r="H9" s="13" t="str">
        <x:v>Buy qty</x:v>
      </x:c>
      <x:c r="I9" s="13" t="str">
        <x:v>Pack qty</x:v>
      </x:c>
      <x:c r="J9" s="13" t="str">
        <x:v>Pack USD</x:v>
      </x:c>
      <x:c r="K9" s="13" t="str">
        <x:v>Buy USD</x:v>
      </x:c>
      <x:c r="L9" s="13" t="str">
        <x:v>Source</x:v>
      </x:c>
      <x:c r="M9" s="13" t="str">
        <x:v>Checked</x:v>
      </x:c>
      <x:c r="N9" s="13" t="str">
        <x:v>Reason / sizing / purchase gate</x:v>
      </x:c>
      <x:c r="O9" s="13" t="str">
        <x:v>Group</x:v>
      </x:c>
      <x:c r="P9" s="13" t="str">
        <x:v>Vehicle buy qty</x:v>
      </x:c>
      <x:c r="Q9" s="13" t="str">
        <x:v>Vehicle buy USD</x:v>
      </x:c>
    </x:row>
    <x:row r="10" ht="66" customHeight="1">
      <x:c r="A10" s="15" t="str">
        <x:v>M01</x:v>
      </x:c>
      <x:c r="B10" s="15" t="str">
        <x:v>Continuous-mode standard servo
INJORA INJS035-360</x:v>
      </x:c>
      <x:c r="C10" s="15" t="str">
        <x:v>OWNED</x:v>
      </x:c>
      <x:c r="D10" s="24" t="n">
        <x:v>2</x:v>
      </x:c>
      <x:c r="E10" s="24" t="n">
        <x:v>1</x:v>
      </x:c>
      <x:c r="F10" s="24" t="n">
        <x:v>1</x:v>
      </x:c>
      <x:c r="G10" s="24" t="n">
        <x:v>0</x:v>
      </x:c>
      <x:c r="H10" s="24" t="n">
        <x:f>IF(E10=0,0,MAX(E10-F10-G10,0))</x:f>
        <x:v>0</x:v>
      </x:c>
      <x:c r="I10" s="24" t="n">
        <x:v>1</x:v>
      </x:c>
      <x:c r="J10" s="25" t="n">
        <x:v>22.98</x:v>
      </x:c>
      <x:c r="K10" s="17" t="n">
        <x:f>IF(H10=0,0,IF(ISNUMBER(J10),ROUNDUP(H10/I10,0)*J10,""))</x:f>
        <x:v>0</x:v>
      </x:c>
      <x:c r="L10" s="22" t="str">
        <x:v>https://www.amazon.com/dp/B0C9TM9X2C</x:v>
      </x:c>
      <x:c r="M10" s="23" t="str">
        <x:v>2026-10-04</x:v>
      </x:c>
      <x:c r="N10" s="15" t="str">
        <x:v>Owned continuous-rotation INJORA for first fit. Published25T/5.9mm spline; native case/ears use supplied drawing. Verify received seating and cable clearance. No external feedback. One additional servo needed for two drives; price retains its recorded offer date.</x:v>
      </x:c>
      <x:c r="O10" s="15" t="str">
        <x:v>Actuator</x:v>
      </x:c>
      <x:c r="P10" s="16" t="n">
        <x:f>IF(ISNUMBER(D10),MAX(D10-F10-G10,0),"")</x:f>
        <x:v>1</x:v>
      </x:c>
      <x:c r="Q10" s="17" t="n">
        <x:f>IF(ISNUMBER(P10),IF(P10=0,0,IF(ISNUMBER(J10),ROUNDUP(P10/I10,0)*J10,"")),"")</x:f>
        <x:v>22.98</x:v>
      </x:c>
    </x:row>
    <x:row r="11" ht="66" customHeight="1">
      <x:c r="A11" s="15" t="str">
        <x:v>M02</x:v>
      </x:c>
      <x:c r="B11" s="15" t="str">
        <x:v>One shared servo programmer
3102-0001-0001</x:v>
      </x:c>
      <x:c r="C11" s="15" t="str">
        <x:v>SUPERSEDED</x:v>
      </x:c>
      <x:c r="D11" s="24" t="n">
        <x:v>0</x:v>
      </x:c>
      <x:c r="E11" s="24" t="n">
        <x:v>0</x:v>
      </x:c>
      <x:c r="F11" s="24" t="n">
        <x:v>0</x:v>
      </x:c>
      <x:c r="G11" s="24" t="n">
        <x:v>0</x:v>
      </x:c>
      <x:c r="H11" s="24" t="n">
        <x:f>IF(E11=0,0,MAX(E11-F11-G11,0))</x:f>
        <x:v>0</x:v>
      </x:c>
      <x:c r="I11" s="24" t="n">
        <x:v>1</x:v>
      </x:c>
      <x:c r="J11" s="25" t="n">
        <x:v>12.99</x:v>
      </x:c>
      <x:c r="K11" s="17" t="n">
        <x:f>IF(H11=0,0,IF(ISNUMBER(J11),ROUNDUP(H11/I11,0)*J11,""))</x:f>
        <x:v>0</x:v>
      </x:c>
      <x:c r="L11" s="22" t="str">
        <x:v>https://www.gobilda.com/servo-programmer-for-2000-series-dual-mode-servo/</x:v>
      </x:c>
      <x:c r="M11" s="23" t="str">
        <x:v>2026-09-13</x:v>
      </x:c>
      <x:c r="N11" s="15" t="str">
        <x:v>Not required for owned INJORA servo. Do not order this programmer.</x:v>
      </x:c>
      <x:c r="O11" s="15" t="str">
        <x:v>Actuator</x:v>
      </x:c>
      <x:c r="P11" s="16" t="n">
        <x:f>IF(ISNUMBER(D11),MAX(D11-F11-G11,0),"")</x:f>
        <x:v>0</x:v>
      </x:c>
      <x:c r="Q11" s="17" t="n">
        <x:f>IF(ISNUMBER(P11),IF(P11=0,0,IF(ISNUMBER(J11),ROUNDUP(P11/I11,0)*J11,"")),"")</x:f>
        <x:v>0</x:v>
      </x:c>
    </x:row>
    <x:row r="12" ht="66" customHeight="1">
      <x:c r="A12" s="15" t="str">
        <x:v>M03</x:v>
      </x:c>
      <x:c r="B12" s="15" t="str">
        <x:v>Accepted endless HTD3M belt
D&amp;D210-3M-09 / B00ISC4PHG</x:v>
      </x:c>
      <x:c r="C12" s="15" t="str">
        <x:v>BUY ONE SIDE</x:v>
      </x:c>
      <x:c r="D12" s="24" t="n">
        <x:v>2</x:v>
      </x:c>
      <x:c r="E12" s="24" t="n">
        <x:v>1</x:v>
      </x:c>
      <x:c r="F12" s="24" t="n">
        <x:v>0</x:v>
      </x:c>
      <x:c r="G12" s="24" t="n">
        <x:v>0</x:v>
      </x:c>
      <x:c r="H12" s="24" t="n">
        <x:f>IF(E12=0,0,MAX(E12-F12-G12,0))</x:f>
        <x:v>1</x:v>
      </x:c>
      <x:c r="I12" s="24" t="n">
        <x:v>1</x:v>
      </x:c>
      <x:c r="J12" s="25" t="n">
        <x:v>7.97</x:v>
      </x:c>
      <x:c r="K12" s="17" t="n">
        <x:f>IF(H12=0,0,IF(ISNUMBER(J12),ROUNDUP(H12/I12,0)*J12,""))</x:f>
        <x:v>7.97</x:v>
      </x:c>
      <x:c r="L12" s="22" t="str">
        <x:v>https://www.amazon.com/dp/B00ISC4PHG</x:v>
      </x:c>
      <x:c r="M12" s="23" t="str">
        <x:v>2026-10-03</x:v>
      </x:c>
      <x:c r="N12" s="15" t="str">
        <x:v>D&amp;D 210-3M-09: 210 mm pitch length, 70 teeth, 9 mm width. Main Amazon.com offer $7.97; stock shown, recheck at checkout. No delivery promise.</x:v>
      </x:c>
      <x:c r="O12" s="15" t="str">
        <x:v>Transmission</x:v>
      </x:c>
      <x:c r="P12" s="16" t="n">
        <x:f>IF(ISNUMBER(D12),MAX(D12-F12-G12,0),"")</x:f>
        <x:v>2</x:v>
      </x:c>
      <x:c r="Q12" s="17" t="n">
        <x:f>IF(ISNUMBER(P12),IF(P12=0,0,IF(ISNUMBER(J12),ROUNDUP(P12/I12,0)*J12,"")),"")</x:f>
        <x:v>15.94</x:v>
      </x:c>
    </x:row>
    <x:row r="13" ht="66" customHeight="1">
      <x:c r="A13" s="15" t="str">
        <x:v>M04</x:v>
      </x:c>
      <x:c r="B13" s="15" t="str">
        <x:v>8x22x7 radial bearing
1600-0722-0008</x:v>
      </x:c>
      <x:c r="C13" s="15" t="str">
        <x:v>BUY ONE SIDE</x:v>
      </x:c>
      <x:c r="D13" s="24" t="n">
        <x:v>8</x:v>
      </x:c>
      <x:c r="E13" s="24" t="n">
        <x:v>4</x:v>
      </x:c>
      <x:c r="F13" s="24" t="n">
        <x:v>0</x:v>
      </x:c>
      <x:c r="G13" s="24" t="n">
        <x:v>0</x:v>
      </x:c>
      <x:c r="H13" s="24" t="n">
        <x:f>IF(E13=0,0,MAX(E13-F13-G13,0))</x:f>
        <x:v>4</x:v>
      </x:c>
      <x:c r="I13" s="24" t="n">
        <x:v>2</x:v>
      </x:c>
      <x:c r="J13" s="25" t="n">
        <x:v>3.99</x:v>
      </x:c>
      <x:c r="K13" s="17" t="n">
        <x:f>IF(H13=0,0,IF(ISNUMBER(J13),ROUNDUP(H13/I13,0)*J13,""))</x:f>
        <x:v>7.98</x:v>
      </x:c>
      <x:c r="L13" s="22" t="str">
        <x:v>https://www.servocity.com/8mm-id-x-22mm-od-non-flanged-ball-bearing-2-pack/</x:v>
      </x:c>
      <x:c r="M13" s="23" t="str">
        <x:v>2026-10-03</x:v>
      </x:c>
      <x:c r="N13" s="15" t="str">
        <x:v>Four each drive side. Confirm actual fit/drag on coupon; not a load rating. Purchased 608 batch must be checked against split seat and inner-race spacer contact.</x:v>
      </x:c>
      <x:c r="O13" s="15" t="str">
        <x:v>Support</x:v>
      </x:c>
      <x:c r="P13" s="16" t="n">
        <x:f>IF(ISNUMBER(D13),MAX(D13-F13-G13,0),"")</x:f>
        <x:v>8</x:v>
      </x:c>
      <x:c r="Q13" s="17" t="n">
        <x:f>IF(ISNUMBER(P13),IF(P13=0,0,IF(ISNUMBER(J13),ROUNDUP(P13/I13,0)*J13,"")),"")</x:f>
        <x:v>15.96</x:v>
      </x:c>
    </x:row>
    <x:row r="14" ht="66" customHeight="1">
      <x:c r="A14" s="15" t="str">
        <x:v>M05</x:v>
      </x:c>
      <x:c r="B14" s="15" t="str">
        <x:v>8mm round wheel clamp hub
1310-0016-0008</x:v>
      </x:c>
      <x:c r="C14" s="15" t="str">
        <x:v>BUY ONE SIDE</x:v>
      </x:c>
      <x:c r="D14" s="24" t="n">
        <x:v>2</x:v>
      </x:c>
      <x:c r="E14" s="24" t="n">
        <x:v>1</x:v>
      </x:c>
      <x:c r="F14" s="24" t="n">
        <x:v>0</x:v>
      </x:c>
      <x:c r="G14" s="24" t="n">
        <x:v>0</x:v>
      </x:c>
      <x:c r="H14" s="24" t="n">
        <x:f>IF(E14=0,0,MAX(E14-F14-G14,0))</x:f>
        <x:v>1</x:v>
      </x:c>
      <x:c r="I14" s="24" t="n">
        <x:v>1</x:v>
      </x:c>
      <x:c r="J14" s="25" t="n">
        <x:v>7.99</x:v>
      </x:c>
      <x:c r="K14" s="17" t="n">
        <x:f>IF(H14=0,0,IF(ISNUMBER(J14),ROUNDUP(H14/I14,0)*J14,""))</x:f>
        <x:v>7.99</x:v>
      </x:c>
      <x:c r="L14" s="22" t="str">
        <x:v>https://www.servocity.com/1310-series-hyper-hub-8mm-bore/</x:v>
      </x:c>
      <x:c r="M14" s="23" t="str">
        <x:v>2026-10-06</x:v>
      </x:c>
      <x:c r="N14" s="15" t="str">
        <x:v>Exact Hyper Hub. S20 stock 6mm +2mm spacers, total8mm, Y105..113; D10 nominal manufacturer models. Rear hub abutment/endplay still needs receiving fit.</x:v>
      </x:c>
      <x:c r="O14" s="15" t="str">
        <x:v>Support</x:v>
      </x:c>
      <x:c r="P14" s="16" t="n">
        <x:f>IF(ISNUMBER(D14),MAX(D14-F14-G14,0),"")</x:f>
        <x:v>2</x:v>
      </x:c>
      <x:c r="Q14" s="17" t="n">
        <x:f>IF(ISNUMBER(P14),IF(P14=0,0,IF(ISNUMBER(J14),ROUNDUP(P14/I14,0)*J14,"")),"")</x:f>
        <x:v>15.98</x:v>
      </x:c>
    </x:row>
    <x:row r="15" ht="66" customHeight="1">
      <x:c r="A15" s="15" t="str">
        <x:v>M06</x:v>
      </x:c>
      <x:c r="B15" s="15" t="str">
        <x:v>8mm round clamp collar
2910-0921-0008</x:v>
      </x:c>
      <x:c r="C15" s="15" t="str">
        <x:v>BUY ONE SIDE</x:v>
      </x:c>
      <x:c r="D15" s="24" t="n">
        <x:v>2</x:v>
      </x:c>
      <x:c r="E15" s="24" t="n">
        <x:v>1</x:v>
      </x:c>
      <x:c r="F15" s="24" t="n">
        <x:v>0</x:v>
      </x:c>
      <x:c r="G15" s="24" t="n">
        <x:v>0</x:v>
      </x:c>
      <x:c r="H15" s="24" t="n">
        <x:f>IF(E15=0,0,MAX(E15-F15-G15,0))</x:f>
        <x:v>1</x:v>
      </x:c>
      <x:c r="I15" s="24" t="n">
        <x:v>1</x:v>
      </x:c>
      <x:c r="J15" s="25" t="n">
        <x:v>4.99</x:v>
      </x:c>
      <x:c r="K15" s="17" t="n">
        <x:f>IF(H15=0,0,IF(ISNUMBER(J15),ROUNDUP(H15/I15,0)*J15,""))</x:f>
        <x:v>4.99</x:v>
      </x:c>
      <x:c r="L15" s="22" t="str">
        <x:v>https://www.servocity.com/2910-series-aluminum-clamping-collar-8mm-id-x-21mm-od-9mm-length/</x:v>
      </x:c>
      <x:c r="M15" s="23" t="str">
        <x:v>2026-10-03</x:v>
      </x:c>
      <x:c r="N15" s="15" t="str">
        <x:v>Inboard wheel collar Y85.8..94.8, 3 mm spacer Y94.8..97.8. Set measured endplay without bearing preload.</x:v>
      </x:c>
      <x:c r="O15" s="15" t="str">
        <x:v>Support</x:v>
      </x:c>
      <x:c r="P15" s="16" t="n">
        <x:f>IF(ISNUMBER(D15),MAX(D15-F15-G15,0),"")</x:f>
        <x:v>2</x:v>
      </x:c>
      <x:c r="Q15" s="17" t="n">
        <x:f>IF(ISNUMBER(P15),IF(P15=0,0,IF(ISNUMBER(J15),ROUNDUP(P15/I15,0)*J15,"")),"")</x:f>
        <x:v>9.98</x:v>
      </x:c>
    </x:row>
    <x:row r="16" ht="66" customHeight="1">
      <x:c r="A16" s="15" t="str">
        <x:v>M07</x:v>
      </x:c>
      <x:c r="B16" s="15" t="str">
        <x:v>Wheel shaft, finished stock
2100-0008-0150; 8 x 150 mm</x:v>
      </x:c>
      <x:c r="C16" s="15" t="str">
        <x:v>BUY FIT CHECK</x:v>
      </x:c>
      <x:c r="D16" s="24" t="n">
        <x:v>2</x:v>
      </x:c>
      <x:c r="E16" s="24" t="n">
        <x:v>1</x:v>
      </x:c>
      <x:c r="F16" s="24" t="n">
        <x:v>0</x:v>
      </x:c>
      <x:c r="G16" s="24" t="n">
        <x:v>0</x:v>
      </x:c>
      <x:c r="H16" s="24" t="n">
        <x:f>IF(E16=0,0,MAX(E16-F16-G16,0))</x:f>
        <x:v>1</x:v>
      </x:c>
      <x:c r="I16" s="24" t="n">
        <x:v>1</x:v>
      </x:c>
      <x:c r="J16" s="25" t="n">
        <x:v>4.29</x:v>
      </x:c>
      <x:c r="K16" s="17" t="n">
        <x:f>IF(H16=0,0,IF(ISNUMBER(J16),ROUNDUP(H16/I16,0)*J16,""))</x:f>
        <x:v>4.29</x:v>
      </x:c>
      <x:c r="L16" s="22" t="str">
        <x:v>https://www.servocity.com/8mm-x-150mm-stainless-steel-precision-shafting/</x:v>
      </x:c>
      <x:c r="M16" s="23" t="str">
        <x:v>2026-10-03</x:v>
      </x:c>
      <x:c r="N16" s="15" t="str">
        <x:v>CURRENT: uncut 150 mm stock, Y8..158. Old 113 mm cutting instruction retired. Verify shaft diameter and journal fit.</x:v>
      </x:c>
      <x:c r="O16" s="15" t="str">
        <x:v>Support</x:v>
      </x:c>
      <x:c r="P16" s="16" t="n">
        <x:f>IF(ISNUMBER(D16),MAX(D16-F16-G16,0),"")</x:f>
        <x:v>2</x:v>
      </x:c>
      <x:c r="Q16" s="17" t="n">
        <x:f>IF(ISNUMBER(P16),IF(P16=0,0,IF(ISNUMBER(J16),ROUNDUP(P16/I16,0)*J16,"")),"")</x:f>
        <x:v>8.58</x:v>
      </x:c>
    </x:row>
    <x:row r="17" ht="66" customHeight="1">
      <x:c r="A17" s="15" t="str">
        <x:v>M08</x:v>
      </x:c>
      <x:c r="B17" s="15" t="str">
        <x:v>Input REX shaft with factory Eclip
2106-4008-0480; 8mm REX x48, M4 tapped ends</x:v>
      </x:c>
      <x:c r="C17" s="15" t="str">
        <x:v>BUY FIT CHECK</x:v>
      </x:c>
      <x:c r="D17" s="24" t="n">
        <x:v>2</x:v>
      </x:c>
      <x:c r="E17" s="24" t="n">
        <x:v>1</x:v>
      </x:c>
      <x:c r="F17" s="24" t="n">
        <x:v>0</x:v>
      </x:c>
      <x:c r="G17" s="24" t="n">
        <x:v>0</x:v>
      </x:c>
      <x:c r="H17" s="24" t="n">
        <x:f>IF(E17=0,0,MAX(E17-F17-G17,0))</x:f>
        <x:v>1</x:v>
      </x:c>
      <x:c r="I17" s="24" t="n">
        <x:v>1</x:v>
      </x:c>
      <x:c r="J17" s="25" t="n">
        <x:v>4.29</x:v>
      </x:c>
      <x:c r="K17" s="17" t="n">
        <x:f>IF(H17=0,0,IF(ISNUMBER(J17),ROUNDUP(H17/I17,0)*J17,""))</x:f>
        <x:v>4.29</x:v>
      </x:c>
      <x:c r="L17" s="22" t="str">
        <x:v>https://www.servocity.com/2106-series-stainless-steel-rex-shaft-8mm-diameter-48mm-length/</x:v>
      </x:c>
      <x:c r="M17" s="23" t="str">
        <x:v>2026-10-06</x:v>
      </x:c>
      <x:c r="N17" s="15" t="str">
        <x:v>S20 actual manufacturer STEP. Nominal Y46.5..94.5; factory clip49.8..50.5. Positive AF7.3 printed bores drive both adapter and pulley. No input pinch screws or fabricated thin collar.</x:v>
      </x:c>
      <x:c r="O17" s="15" t="str">
        <x:v>Support</x:v>
      </x:c>
      <x:c r="P17" s="16" t="n">
        <x:f>IF(ISNUMBER(D17),MAX(D17-F17-G17,0),"")</x:f>
        <x:v>2</x:v>
      </x:c>
      <x:c r="Q17" s="17" t="n">
        <x:f>IF(ISNUMBER(P17),IF(P17=0,0,IF(ISNUMBER(J17),ROUNDUP(P17/I17,0)*J17,"")),"")</x:f>
        <x:v>8.58</x:v>
      </x:c>
    </x:row>
    <x:row r="18" ht="66" customHeight="1">
      <x:c r="A18" s="15" t="str">
        <x:v>M09</x:v>
      </x:c>
      <x:c r="B18" s="15" t="str">
        <x:v>Bidirectional output slip limiter
ComInTec00.25 DF d8 T1</x:v>
      </x:c>
      <x:c r="C18" s="15" t="str">
        <x:v>SUPERSEDED</x:v>
      </x:c>
      <x:c r="D18" s="24" t="n">
        <x:v>0</x:v>
      </x:c>
      <x:c r="E18" s="24" t="n">
        <x:v>0</x:v>
      </x:c>
      <x:c r="F18" s="24" t="n">
        <x:v>0</x:v>
      </x:c>
      <x:c r="G18" s="24" t="n">
        <x:v>0</x:v>
      </x:c>
      <x:c r="H18" s="24" t="n">
        <x:f>IF(E18=0,0,MAX(E18-F18-G18,0))</x:f>
        <x:v>0</x:v>
      </x:c>
      <x:c r="I18" s="24" t="n">
        <x:v>1</x:v>
      </x:c>
      <x:c r="J18" s="25"/>
      <x:c r="K18" s="17" t="n">
        <x:f>IF(H18=0,0,IF(ISNUMBER(J18),ROUNDUP(H18/I18,0)*J18,""))</x:f>
        <x:v>0</x:v>
      </x:c>
      <x:c r="L18" s="22" t="str">
        <x:v>https://www.comintec.com/download/cataloghi/sezioni/torque_limiters/DF_EN.pdf</x:v>
      </x:c>
      <x:c r="M18" s="23" t="str">
        <x:v>2026-09-13</x:v>
      </x:c>
      <x:c r="N18" s="15" t="str">
        <x:v>ComInTec limiter and subsequent custom spring clutch are retired. Current assembly uses the rigid belt drivetrain; no mechanical clutch purchase.</x:v>
      </x:c>
      <x:c r="O18" s="15" t="str">
        <x:v>Transmission</x:v>
      </x:c>
      <x:c r="P18" s="16" t="n">
        <x:f>IF(ISNUMBER(D18),MAX(D18-F18-G18,0),"")</x:f>
        <x:v>0</x:v>
      </x:c>
      <x:c r="Q18" s="17" t="n">
        <x:f>IF(ISNUMBER(P18),IF(P18=0,0,IF(ISNUMBER(J18),ROUNDUP(P18/I18,0)*J18,"")),"")</x:f>
        <x:v>0</x:v>
      </x:c>
    </x:row>
    <x:row r="19" ht="66" customHeight="1">
      <x:c r="A19" s="15" t="str">
        <x:v>M10</x:v>
      </x:c>
      <x:c r="B19" s="15" t="str">
        <x:v>Ground metal drive plates / bushes
Supplier prepared to00.25 DF</x:v>
      </x:c>
      <x:c r="C19" s="15" t="str">
        <x:v>SUPERSEDED</x:v>
      </x:c>
      <x:c r="D19" s="24" t="n">
        <x:v>0</x:v>
      </x:c>
      <x:c r="E19" s="24" t="n">
        <x:v>0</x:v>
      </x:c>
      <x:c r="F19" s="24" t="n">
        <x:v>0</x:v>
      </x:c>
      <x:c r="G19" s="24" t="n">
        <x:v>0</x:v>
      </x:c>
      <x:c r="H19" s="24" t="n">
        <x:f>IF(E19=0,0,MAX(E19-F19-G19,0))</x:f>
        <x:v>0</x:v>
      </x:c>
      <x:c r="I19" s="24" t="n">
        <x:v>1</x:v>
      </x:c>
      <x:c r="J19" s="25"/>
      <x:c r="K19" s="17" t="n">
        <x:f>IF(H19=0,0,IF(ISNUMBER(J19),ROUNDUP(H19/I19,0)*J19,""))</x:f>
        <x:v>0</x:v>
      </x:c>
      <x:c r="L19" s="22" t="str"/>
      <x:c r="M19" s="23" t="str">
        <x:v>2026-09-13</x:v>
      </x:c>
      <x:c r="N19" s="15" t="str">
        <x:v>ComInTec plates, reaction plates and friction lining are retired. No current assembly or purchase requirement.</x:v>
      </x:c>
      <x:c r="O19" s="15" t="str">
        <x:v>Transmission</x:v>
      </x:c>
      <x:c r="P19" s="16" t="n">
        <x:f>IF(ISNUMBER(D19),MAX(D19-F19-G19,0),"")</x:f>
        <x:v>0</x:v>
      </x:c>
      <x:c r="Q19" s="17" t="n">
        <x:f>IF(ISNUMBER(P19),IF(P19=0,0,IF(ISNUMBER(J19),ROUNDUP(P19/I19,0)*J19,"")),"")</x:f>
        <x:v>0</x:v>
      </x:c>
    </x:row>
    <x:row r="20" ht="66" customHeight="1">
      <x:c r="A20" s="15" t="str">
        <x:v>M11</x:v>
      </x:c>
      <x:c r="B20" s="15" t="str">
        <x:v>Printed servo bridge and positive REX horn adapter
S20; H25T horn + AF7.3 keyed input</x:v>
      </x:c>
      <x:c r="C20" s="15" t="str">
        <x:v>PRINT FIT</x:v>
      </x:c>
      <x:c r="D20" s="24" t="n">
        <x:v>2</x:v>
      </x:c>
      <x:c r="E20" s="24" t="n">
        <x:v>0</x:v>
      </x:c>
      <x:c r="F20" s="24" t="n">
        <x:v>0</x:v>
      </x:c>
      <x:c r="G20" s="24" t="n">
        <x:v>0</x:v>
      </x:c>
      <x:c r="H20" s="24" t="n">
        <x:f>IF(E20=0,0,MAX(E20-F20-G20,0))</x:f>
        <x:v>0</x:v>
      </x:c>
      <x:c r="I20" s="24" t="n">
        <x:v>1</x:v>
      </x:c>
      <x:c r="J20" s="25"/>
      <x:c r="K20" s="17" t="n">
        <x:f>IF(H20=0,0,IF(ISNUMBER(J20),ROUNDUP(H20/I20,0)*J20,""))</x:f>
        <x:v>0</x:v>
      </x:c>
      <x:c r="L20" s="22" t="str">
        <x:v>Local CAD + design/vendor/servo-horn-1906-0025-0032/source.json</x:v>
      </x:c>
      <x:c r="M20" s="23" t="str">
        <x:v>2026-10-06</x:v>
      </x:c>
      <x:c r="N20" s="15" t="str">
        <x:v>Native shared datums repaired, four servo ear and two bridge nuts captured. Adapter has factory Eclip pocket/radial window; two input friction clamps removed. Printed pieces counted in current print-set manifest/material estimate.</x:v>
      </x:c>
      <x:c r="O20" s="15" t="str">
        <x:v>Transmission</x:v>
      </x:c>
      <x:c r="P20" s="16" t="n">
        <x:f>IF(ISNUMBER(D20),MAX(D20-F20-G20,0),"")</x:f>
        <x:v>2</x:v>
      </x:c>
      <x:c r="Q20" s="17" t="str">
        <x:f>IF(ISNUMBER(P20),IF(P20=0,0,IF(ISNUMBER(J20),ROUNDUP(P20/I20,0)*J20,"")),"")</x:f>
      </x:c>
    </x:row>
    <x:row r="21" ht="66" customHeight="1">
      <x:c r="A21" s="15" t="str">
        <x:v>P01</x:v>
      </x:c>
      <x:c r="B21" s="15" t="str">
        <x:v>Printed positive REX input and rigid output pulleys
24T /48T, 3M pitch, 9mm belt</x:v>
      </x:c>
      <x:c r="C21" s="15" t="str">
        <x:v>PRINT FIT</x:v>
      </x:c>
      <x:c r="D21" s="24" t="n">
        <x:v>4</x:v>
      </x:c>
      <x:c r="E21" s="24" t="n">
        <x:v>2</x:v>
      </x:c>
      <x:c r="F21" s="24" t="n">
        <x:v>0</x:v>
      </x:c>
      <x:c r="G21" s="24" t="n">
        <x:v>0</x:v>
      </x:c>
      <x:c r="H21" s="24" t="n">
        <x:f>IF(E21=0,0,MAX(E21-F21-G21,0))</x:f>
        <x:v>2</x:v>
      </x:c>
      <x:c r="I21" s="24" t="n">
        <x:v>1</x:v>
      </x:c>
      <x:c r="J21" s="25"/>
      <x:c r="K21" s="17" t="str">
        <x:f>IF(H21=0,0,IF(ISNUMBER(J21),ROUNDUP(H21/I21,0)*J21,""))</x:f>
      </x:c>
      <x:c r="L21" s="22" t="str">
        <x:v>Local native CAD: Roller-300.nbcad</x:v>
      </x:c>
      <x:c r="M21" s="23" t="str">
        <x:v>2026-10-06</x:v>
      </x:c>
      <x:c r="N21" s="15" t="str">
        <x:v>S20 positive AF7.3 input bore replaces friction clamp. Integral R5.5 input lands locate pulley between bearing inner races with0.4mm total nominal endplay. Output bolts to purchased Sonic hub. No mechanical torque limiter.</x:v>
      </x:c>
      <x:c r="O21" s="15" t="str">
        <x:v>Printed</x:v>
      </x:c>
      <x:c r="P21" s="16" t="n">
        <x:f>IF(ISNUMBER(D21),MAX(D21-F21-G21,0),"")</x:f>
        <x:v>4</x:v>
      </x:c>
      <x:c r="Q21" s="17" t="str">
        <x:f>IF(ISNUMBER(P21),IF(P21=0,0,IF(ISNUMBER(J21),ROUNDUP(P21/I21,0)*J21,"")),"")</x:f>
      </x:c>
    </x:row>
    <x:row r="22" ht="66" customHeight="1">
      <x:c r="A22" s="15" t="str">
        <x:v>P02</x:v>
      </x:c>
      <x:c r="B22" s="15" t="str">
        <x:v>One rigid wheel print
S21 open-face rigid wheel;230mm rim,40mm width,4mm hub web;246mm only with provisional tread</x:v>
      </x:c>
      <x:c r="C22" s="15" t="str">
        <x:v>HOLD WHEEL FIT</x:v>
      </x:c>
      <x:c r="D22" s="24" t="n">
        <x:v>2</x:v>
      </x:c>
      <x:c r="E22" s="24" t="n">
        <x:v>1</x:v>
      </x:c>
      <x:c r="F22" s="24" t="n">
        <x:v>0</x:v>
      </x:c>
      <x:c r="G22" s="24" t="n">
        <x:v>0</x:v>
      </x:c>
      <x:c r="H22" s="24" t="n">
        <x:f>IF(E22=0,0,MAX(E22-F22-G22,0))</x:f>
        <x:v>1</x:v>
      </x:c>
      <x:c r="I22" s="24" t="n">
        <x:v>1</x:v>
      </x:c>
      <x:c r="J22" s="25"/>
      <x:c r="K22" s="17" t="str">
        <x:f>IF(H22=0,0,IF(ISNUMBER(J22),ROUNDUP(H22/I22,0)*J22,""))</x:f>
      </x:c>
      <x:c r="L22" s="22" t="str">
        <x:v>Local native CAD: Roller-300.nbcad</x:v>
      </x:c>
      <x:c r="M22" s="23" t="str">
        <x:v>2026-10-07</x:v>
      </x:c>
      <x:c r="N22" s="15" t="str">
        <x:v>S21 open faces insideR108 preserve4mm hub web,bolt pattern and D230x40 rim while exposing wheel-hub screws and support cleanup. Fresh outboard-down native X2D PETG slice:336.71g including supports,8.64h; no warnings. Receiving fit and support cleanup still precede this print. Strength/tread deferred.</x:v>
      </x:c>
      <x:c r="O22" s="15" t="str">
        <x:v>Printed</x:v>
      </x:c>
      <x:c r="P22" s="16" t="n">
        <x:f>IF(ISNUMBER(D22),MAX(D22-F22-G22,0),"")</x:f>
        <x:v>2</x:v>
      </x:c>
      <x:c r="Q22" s="17" t="str">
        <x:f>IF(ISNUMBER(P22),IF(P22=0,0,IF(ISNUMBER(J22),ROUNDUP(P22/I22,0)*J22,"")),"")</x:f>
      </x:c>
    </x:row>
    <x:row r="23" ht="66" customHeight="1">
      <x:c r="A23" s="15" t="str">
        <x:v>P03</x:v>
      </x:c>
      <x:c r="B23" s="15" t="str">
        <x:v>Single shell-first barrel housing and structural hatch
Fresh native S02/S03 geometry; D160x210; no legacy frame</x:v>
      </x:c>
      <x:c r="C23" s="15" t="str">
        <x:v>HOLD BARREL</x:v>
      </x:c>
      <x:c r="D23" s="24" t="n">
        <x:v>1</x:v>
      </x:c>
      <x:c r="E23" s="24" t="n">
        <x:v>0</x:v>
      </x:c>
      <x:c r="F23" s="24" t="n">
        <x:v>0</x:v>
      </x:c>
      <x:c r="G23" s="24" t="n">
        <x:v>0</x:v>
      </x:c>
      <x:c r="H23" s="24" t="n">
        <x:f>IF(E23=0,0,MAX(E23-F23-G23,0))</x:f>
        <x:v>0</x:v>
      </x:c>
      <x:c r="I23" s="24" t="n">
        <x:v>1</x:v>
      </x:c>
      <x:c r="J23" s="25"/>
      <x:c r="K23" s="17" t="n">
        <x:f>IF(H23=0,0,IF(ISNUMBER(J23),ROUNDUP(H23/I23,0)*J23,""))</x:f>
        <x:v>0</x:v>
      </x:c>
      <x:c r="L23" s="22" t="str">
        <x:v>Local native CAD: Roller-300.nbcad</x:v>
      </x:c>
      <x:c r="M23" s="23" t="str">
        <x:v>2026-10-03</x:v>
      </x:c>
      <x:c r="N23" s="15" t="str">
        <x:v>Whole shell/hatch deferred. Current first article uses the roof-open one-drive section; rear driver access in whole frame remains unresolved.</x:v>
      </x:c>
      <x:c r="O23" s="15" t="str">
        <x:v>Printed</x:v>
      </x:c>
      <x:c r="P23" s="16" t="n">
        <x:f>IF(ISNUMBER(D23),MAX(D23-F23-G23,0),"")</x:f>
        <x:v>1</x:v>
      </x:c>
      <x:c r="Q23" s="17" t="str">
        <x:f>IF(ISNUMBER(P23),IF(P23=0,0,IF(ISNUMBER(J23),ROUNDUP(P23/I23,0)*J23,"")),"")</x:f>
      </x:c>
    </x:row>
    <x:row r="24" ht="66" customHeight="1">
      <x:c r="A24" s="15" t="str">
        <x:v>P04</x:v>
      </x:c>
      <x:c r="B24" s="15" t="str">
        <x:v>Bearing fit coupon
22.05/22.15/22.25 holes</x:v>
      </x:c>
      <x:c r="C24" s="15" t="str">
        <x:v>HOLD GAUGE</x:v>
      </x:c>
      <x:c r="D24" s="24" t="n">
        <x:v>1</x:v>
      </x:c>
      <x:c r="E24" s="24" t="n">
        <x:v>1</x:v>
      </x:c>
      <x:c r="F24" s="24" t="n">
        <x:v>0</x:v>
      </x:c>
      <x:c r="G24" s="24" t="n">
        <x:v>0</x:v>
      </x:c>
      <x:c r="H24" s="24" t="n">
        <x:f>IF(E24=0,0,MAX(E24-F24-G24,0))</x:f>
        <x:v>1</x:v>
      </x:c>
      <x:c r="I24" s="24" t="n">
        <x:v>1</x:v>
      </x:c>
      <x:c r="J24" s="25"/>
      <x:c r="K24" s="17" t="str">
        <x:f>IF(H24=0,0,IF(ISNUMBER(J24),ROUNDUP(H24/I24,0)*J24,""))</x:f>
      </x:c>
      <x:c r="L24" s="22" t="str">
        <x:v>Local native CAD: Roller-300.nbcad</x:v>
      </x:c>
      <x:c r="M24" s="23" t="str">
        <x:v>2026-10-03</x:v>
      </x:c>
      <x:c r="N24" s="15" t="str">
        <x:v>Historical bearing gauge only. Do not mistake it for current split-seat fit proof; current retainers tested on one-drive fixture.</x:v>
      </x:c>
      <x:c r="O24" s="15" t="str">
        <x:v>Printed</x:v>
      </x:c>
      <x:c r="P24" s="16" t="n">
        <x:f>IF(ISNUMBER(D24),MAX(D24-F24-G24,0),"")</x:f>
        <x:v>1</x:v>
      </x:c>
      <x:c r="Q24" s="17" t="str">
        <x:f>IF(ISNUMBER(P24),IF(P24=0,0,IF(ISNUMBER(J24),ROUNDUP(P24/I24,0)*J24,"")),"")</x:f>
      </x:c>
    </x:row>
    <x:row r="25" ht="66" customHeight="1">
      <x:c r="A25" s="15" t="str">
        <x:v>P05</x:v>
      </x:c>
      <x:c r="B25" s="15" t="str">
        <x:v>Servo fit gauge
Selected25-2 mounting frame</x:v>
      </x:c>
      <x:c r="C25" s="15" t="str">
        <x:v>SUPERSEDED</x:v>
      </x:c>
      <x:c r="D25" s="24" t="n">
        <x:v>0</x:v>
      </x:c>
      <x:c r="E25" s="24" t="n">
        <x:v>0</x:v>
      </x:c>
      <x:c r="F25" s="24" t="n">
        <x:v>0</x:v>
      </x:c>
      <x:c r="G25" s="24" t="n">
        <x:v>0</x:v>
      </x:c>
      <x:c r="H25" s="24" t="n">
        <x:f>IF(E25=0,0,MAX(E25-F25-G25,0))</x:f>
        <x:v>0</x:v>
      </x:c>
      <x:c r="I25" s="24" t="n">
        <x:v>1</x:v>
      </x:c>
      <x:c r="J25" s="25"/>
      <x:c r="K25" s="17" t="n">
        <x:f>IF(H25=0,0,IF(ISNUMBER(J25),ROUNDUP(H25/I25,0)*J25,""))</x:f>
        <x:v>0</x:v>
      </x:c>
      <x:c r="L25" s="22" t="str">
        <x:v>Local native CAD: Roller-300.nbcad</x:v>
      </x:c>
      <x:c r="M25" s="23" t="str">
        <x:v>2026-09-13</x:v>
      </x:c>
      <x:c r="N25" s="15" t="str">
        <x:v>goBILDA25-2 gauge does not establish owned INJORA fit. Do not print for this servo.</x:v>
      </x:c>
      <x:c r="O25" s="15" t="str">
        <x:v>Printed</x:v>
      </x:c>
      <x:c r="P25" s="16" t="n">
        <x:f>IF(ISNUMBER(D25),MAX(D25-F25-G25,0),"")</x:f>
        <x:v>0</x:v>
      </x:c>
      <x:c r="Q25" s="17" t="n">
        <x:f>IF(ISNUMBER(P25),IF(P25=0,0,IF(ISNUMBER(J25),ROUNDUP(P25/I25,0)*J25,"")),"")</x:f>
        <x:v>0</x:v>
      </x:c>
    </x:row>
    <x:row r="26" ht="66" customHeight="1">
      <x:c r="A26" s="15" t="str">
        <x:v>H01</x:v>
      </x:c>
      <x:c r="B26" s="15" t="str">
        <x:v>Major M4 bolts, captive nuts, washers
Consistent metric family</x:v>
      </x:c>
      <x:c r="C26" s="15" t="str">
        <x:v>HOLD REMAINDER</x:v>
      </x:c>
      <x:c r="D26" s="24"/>
      <x:c r="E26" s="24" t="n">
        <x:v>0</x:v>
      </x:c>
      <x:c r="F26" s="24"/>
      <x:c r="G26" s="24" t="n">
        <x:v>0</x:v>
      </x:c>
      <x:c r="H26" s="24" t="n">
        <x:f>IF(E26=0,0,MAX(E26-F26-G26,0))</x:f>
        <x:v>0</x:v>
      </x:c>
      <x:c r="I26" s="24" t="n">
        <x:v>1</x:v>
      </x:c>
      <x:c r="J26" s="25"/>
      <x:c r="K26" s="17" t="n">
        <x:f>IF(H26=0,0,IF(ISNUMBER(J26),ROUNDUP(H26/I26,0)*J26,""))</x:f>
        <x:v>0</x:v>
      </x:c>
      <x:c r="L26" s="22" t="str"/>
      <x:c r="M26" s="23" t="str">
        <x:v>2026-09-13</x:v>
      </x:c>
      <x:c r="N26" s="15" t="str">
        <x:v>Specific new housing fasteners itemized below. Remaining component restraints and washers still unresolved; no complete fastener kit claimed.</x:v>
      </x:c>
      <x:c r="O26" s="15" t="str">
        <x:v>Hardware</x:v>
      </x:c>
      <x:c r="P26" s="16" t="str">
        <x:f>IF(ISNUMBER(D26),MAX(D26-F26-G26,0),"")</x:f>
      </x:c>
      <x:c r="Q26" s="17" t="str">
        <x:f>IF(ISNUMBER(P26),IF(P26=0,0,IF(ISNUMBER(J26),ROUNDUP(P26/I26,0)*J26,"")),"")</x:f>
      </x:c>
    </x:row>
    <x:row r="27" ht="66" customHeight="1">
      <x:c r="A27" s="15" t="str">
        <x:v>E01</x:v>
      </x:c>
      <x:c r="B27" s="15" t="str">
        <x:v>Small3-cell battery
Owned, identity/dimensions pending</x:v>
      </x:c>
      <x:c r="C27" s="15" t="str">
        <x:v>OWNED</x:v>
      </x:c>
      <x:c r="D27" s="24" t="n">
        <x:v>1</x:v>
      </x:c>
      <x:c r="E27" s="24" t="n">
        <x:v>0</x:v>
      </x:c>
      <x:c r="F27" s="24" t="n">
        <x:v>1</x:v>
      </x:c>
      <x:c r="G27" s="24" t="n">
        <x:v>0</x:v>
      </x:c>
      <x:c r="H27" s="24" t="n">
        <x:f>IF(E27=0,0,MAX(E27-F27-G27,0))</x:f>
        <x:v>0</x:v>
      </x:c>
      <x:c r="I27" s="24" t="n">
        <x:v>1</x:v>
      </x:c>
      <x:c r="J27" s="25"/>
      <x:c r="K27" s="17" t="n">
        <x:f>IF(H27=0,0,IF(ISNUMBER(J27),ROUNDUP(H27/I27,0)*J27,""))</x:f>
        <x:v>0</x:v>
      </x:c>
      <x:c r="L27" s="22" t="str"/>
      <x:c r="M27" s="23" t="str">
        <x:v>2026-09-13</x:v>
      </x:c>
      <x:c r="N27" s="15" t="str">
        <x:v>Measure body and lead/plug envelope plus mass;90x85x30 box is not measured.</x:v>
      </x:c>
      <x:c r="O27" s="15" t="str">
        <x:v>Owned</x:v>
      </x:c>
      <x:c r="P27" s="16" t="n">
        <x:f>IF(ISNUMBER(D27),MAX(D27-F27-G27,0),"")</x:f>
        <x:v>0</x:v>
      </x:c>
      <x:c r="Q27" s="17" t="n">
        <x:f>IF(ISNUMBER(P27),IF(P27=0,0,IF(ISNUMBER(J27),ROUNDUP(P27/I27,0)*J27,"")),"")</x:f>
        <x:v>0</x:v>
      </x:c>
    </x:row>
    <x:row r="28" ht="66" customHeight="1">
      <x:c r="A28" s="15" t="str">
        <x:v>E02</x:v>
      </x:c>
      <x:c r="B28" s="15" t="str">
        <x:v>Original Pixracer
Owned original</x:v>
      </x:c>
      <x:c r="C28" s="15" t="str">
        <x:v>OWNED</x:v>
      </x:c>
      <x:c r="D28" s="24" t="n">
        <x:v>1</x:v>
      </x:c>
      <x:c r="E28" s="24" t="n">
        <x:v>0</x:v>
      </x:c>
      <x:c r="F28" s="24" t="n">
        <x:v>1</x:v>
      </x:c>
      <x:c r="G28" s="24" t="n">
        <x:v>0</x:v>
      </x:c>
      <x:c r="H28" s="24" t="n">
        <x:f>IF(E28=0,0,MAX(E28-F28-G28,0))</x:f>
        <x:v>0</x:v>
      </x:c>
      <x:c r="I28" s="24" t="n">
        <x:v>1</x:v>
      </x:c>
      <x:c r="J28" s="25"/>
      <x:c r="K28" s="17" t="n">
        <x:f>IF(H28=0,0,IF(ISNUMBER(J28),ROUNDUP(H28/I28,0)*J28,""))</x:f>
        <x:v>0</x:v>
      </x:c>
      <x:c r="L28" s="22" t="str"/>
      <x:c r="M28" s="23" t="str">
        <x:v>2026-09-13</x:v>
      </x:c>
      <x:c r="N28" s="15" t="str">
        <x:v>Case, cable/plug profile and mounting must be measured; installation allowance60x60x35.</x:v>
      </x:c>
      <x:c r="O28" s="15" t="str">
        <x:v>Owned</x:v>
      </x:c>
      <x:c r="P28" s="16" t="n">
        <x:f>IF(ISNUMBER(D28),MAX(D28-F28-G28,0),"")</x:f>
        <x:v>0</x:v>
      </x:c>
      <x:c r="Q28" s="17" t="n">
        <x:f>IF(ISNUMBER(P28),IF(P28=0,0,IF(ISNUMBER(J28),ROUNDUP(P28/I28,0)*J28,"")),"")</x:f>
        <x:v>0</x:v>
      </x:c>
    </x:row>
    <x:row r="29" ht="66" customHeight="1">
      <x:c r="A29" s="15" t="str">
        <x:v>E03</x:v>
      </x:c>
      <x:c r="B29" s="15" t="str">
        <x:v>Pi Zero with Wi-Fi
Owned variant pending</x:v>
      </x:c>
      <x:c r="C29" s="15" t="str">
        <x:v>OWNED</x:v>
      </x:c>
      <x:c r="D29" s="24" t="n">
        <x:v>1</x:v>
      </x:c>
      <x:c r="E29" s="24" t="n">
        <x:v>0</x:v>
      </x:c>
      <x:c r="F29" s="24" t="n">
        <x:v>1</x:v>
      </x:c>
      <x:c r="G29" s="24" t="n">
        <x:v>0</x:v>
      </x:c>
      <x:c r="H29" s="24" t="n">
        <x:f>IF(E29=0,0,MAX(E29-F29-G29,0))</x:f>
        <x:v>0</x:v>
      </x:c>
      <x:c r="I29" s="24" t="n">
        <x:v>1</x:v>
      </x:c>
      <x:c r="J29" s="25"/>
      <x:c r="K29" s="17" t="n">
        <x:f>IF(H29=0,0,IF(ISNUMBER(J29),ROUNDUP(H29/I29,0)*J29,""))</x:f>
        <x:v>0</x:v>
      </x:c>
      <x:c r="L29" s="22" t="str"/>
      <x:c r="M29" s="23" t="str">
        <x:v>2026-09-13</x:v>
      </x:c>
      <x:c r="N29" s="15" t="str">
        <x:v>Bare board nominal65x30x5; headers/case/mated plugs separate. No visible camera owned.</x:v>
      </x:c>
      <x:c r="O29" s="15" t="str">
        <x:v>Owned</x:v>
      </x:c>
      <x:c r="P29" s="16" t="n">
        <x:f>IF(ISNUMBER(D29),MAX(D29-F29-G29,0),"")</x:f>
        <x:v>0</x:v>
      </x:c>
      <x:c r="Q29" s="17" t="n">
        <x:f>IF(ISNUMBER(P29),IF(P29=0,0,IF(ISNUMBER(J29),ROUNDUP(P29/I29,0)*J29,"")),"")</x:f>
        <x:v>0</x:v>
      </x:c>
    </x:row>
    <x:row r="30" ht="66" customHeight="1">
      <x:c r="A30" s="15" t="str">
        <x:v>S01</x:v>
      </x:c>
      <x:c r="B30" s="15" t="str">
        <x:v>Front distance modules
ACEIRMC TOF400C/B0DC6M6G7W</x:v>
      </x:c>
      <x:c r="C30" s="15" t="str">
        <x:v>OWNED</x:v>
      </x:c>
      <x:c r="D30" s="24" t="n">
        <x:v>4</x:v>
      </x:c>
      <x:c r="E30" s="24" t="n">
        <x:v>0</x:v>
      </x:c>
      <x:c r="F30" s="24" t="n">
        <x:v>4</x:v>
      </x:c>
      <x:c r="G30" s="24" t="n">
        <x:v>0</x:v>
      </x:c>
      <x:c r="H30" s="24" t="n">
        <x:f>IF(E30=0,0,MAX(E30-F30-G30,0))</x:f>
        <x:v>0</x:v>
      </x:c>
      <x:c r="I30" s="24" t="n">
        <x:v>4</x:v>
      </x:c>
      <x:c r="J30" s="25"/>
      <x:c r="K30" s="17" t="n">
        <x:f>IF(H30=0,0,IF(ISNUMBER(J30),ROUNDUP(H30/I30,0)*J30,""))</x:f>
        <x:v>0</x:v>
      </x:c>
      <x:c r="L30" s="22" t="str">
        <x:v>https://www.amazon.com/dp/B0DC6M6G7W</x:v>
      </x:c>
      <x:c r="M30" s="23" t="str">
        <x:v>2026-09-13</x:v>
      </x:c>
      <x:c r="N30" s="15" t="str">
        <x:v>User confirmed four TOF400C modules owned on2026-10-04. No new camera/module purchase. Full hood/solder/depth and cable envelopes still require fit checks.</x:v>
      </x:c>
      <x:c r="O30" s="15" t="str">
        <x:v>Sensors</x:v>
      </x:c>
      <x:c r="P30" s="16" t="n">
        <x:f>IF(ISNUMBER(D30),MAX(D30-F30-G30,0),"")</x:f>
        <x:v>0</x:v>
      </x:c>
      <x:c r="Q30" s="17" t="n">
        <x:f>IF(ISNUMBER(P30),IF(P30=0,0,IF(ISNUMBER(J30),ROUNDUP(P30/I30,0)*J30,"")),"")</x:f>
        <x:v>0</x:v>
      </x:c>
    </x:row>
    <x:row r="31" ht="66" customHeight="1">
      <x:c r="A31" s="15" t="str">
        <x:v>S02</x:v>
      </x:c>
      <x:c r="B31" s="15" t="str">
        <x:v>Forward thermal camera
TOPDON TC002C Duo</x:v>
      </x:c>
      <x:c r="C31" s="15" t="str">
        <x:v>OWNED</x:v>
      </x:c>
      <x:c r="D31" s="24" t="n">
        <x:v>1</x:v>
      </x:c>
      <x:c r="E31" s="24" t="n">
        <x:v>0</x:v>
      </x:c>
      <x:c r="F31" s="24" t="n">
        <x:v>1</x:v>
      </x:c>
      <x:c r="G31" s="24" t="n">
        <x:v>0</x:v>
      </x:c>
      <x:c r="H31" s="24" t="n">
        <x:f>IF(E31=0,0,MAX(E31-F31-G31,0))</x:f>
        <x:v>0</x:v>
      </x:c>
      <x:c r="I31" s="24" t="n">
        <x:v>1</x:v>
      </x:c>
      <x:c r="J31" s="25"/>
      <x:c r="K31" s="17" t="n">
        <x:f>IF(H31=0,0,IF(ISNUMBER(J31),ROUNDUP(H31/I31,0)*J31,""))</x:f>
        <x:v>0</x:v>
      </x:c>
      <x:c r="L31" s="22" t="str">
        <x:v>https://www.amazon.com/dp/B0F8MZVFBJ</x:v>
      </x:c>
      <x:c r="M31" s="23" t="str">
        <x:v>2026-10-03</x:v>
      </x:c>
      <x:c r="N31" s="15" t="str">
        <x:v>User confirmed TOPDON TC002C Duo owned on2026-10-04. No replacement purchase. Verify mated extension, lens center and physical fit.</x:v>
      </x:c>
      <x:c r="O31" s="15" t="str">
        <x:v>Sensors</x:v>
      </x:c>
      <x:c r="P31" s="16" t="n">
        <x:f>IF(ISNUMBER(D31),MAX(D31-F31-G31,0),"")</x:f>
        <x:v>0</x:v>
      </x:c>
      <x:c r="Q31" s="17" t="n">
        <x:f>IF(ISNUMBER(P31),IF(P31=0,0,IF(ISNUMBER(J31),ROUNDUP(P31/I31,0)*J31,"")),"")</x:f>
        <x:v>0</x:v>
      </x:c>
    </x:row>
    <x:row r="32" ht="66" customHeight="1">
      <x:c r="A32" s="15" t="str">
        <x:v>S03</x:v>
      </x:c>
      <x:c r="B32" s="15" t="str">
        <x:v>Forward visible camera
Not selected / not owned</x:v>
      </x:c>
      <x:c r="C32" s="15" t="str">
        <x:v>HOLD</x:v>
      </x:c>
      <x:c r="D32" s="24" t="n">
        <x:v>1</x:v>
      </x:c>
      <x:c r="E32" s="24" t="n">
        <x:v>0</x:v>
      </x:c>
      <x:c r="F32" s="24" t="n">
        <x:v>0</x:v>
      </x:c>
      <x:c r="G32" s="24" t="n">
        <x:v>0</x:v>
      </x:c>
      <x:c r="H32" s="24" t="n">
        <x:f>IF(E32=0,0,MAX(E32-F32-G32,0))</x:f>
        <x:v>0</x:v>
      </x:c>
      <x:c r="I32" s="24" t="n">
        <x:v>1</x:v>
      </x:c>
      <x:c r="J32" s="25"/>
      <x:c r="K32" s="17" t="n">
        <x:f>IF(H32=0,0,IF(ISNUMBER(J32),ROUNDUP(H32/I32,0)*J32,""))</x:f>
        <x:v>0</x:v>
      </x:c>
      <x:c r="L32" s="22" t="str"/>
      <x:c r="M32" s="23" t="str">
        <x:v>2026-09-13</x:v>
      </x:c>
      <x:c r="N32" s="15" t="str">
        <x:v>Select exact camera/lens before solid and aperture. No guessed envelope.</x:v>
      </x:c>
      <x:c r="O32" s="15" t="str">
        <x:v>Sensors</x:v>
      </x:c>
      <x:c r="P32" s="16" t="n">
        <x:f>IF(ISNUMBER(D32),MAX(D32-F32-G32,0),"")</x:f>
        <x:v>1</x:v>
      </x:c>
      <x:c r="Q32" s="17" t="str">
        <x:f>IF(ISNUMBER(P32),IF(P32=0,0,IF(ISNUMBER(J32),ROUNDUP(P32/I32,0)*J32,"")),"")</x:f>
      </x:c>
    </x:row>
    <x:row r="33" ht="66" customHeight="1">
      <x:c r="A33" s="15" t="str">
        <x:v>S04</x:v>
      </x:c>
      <x:c r="B33" s="15" t="str">
        <x:v>Future wheel motion readers and targets
Exact hardware pending</x:v>
      </x:c>
      <x:c r="C33" s="15" t="str">
        <x:v>HOLD</x:v>
      </x:c>
      <x:c r="D33" s="24" t="n">
        <x:v>2</x:v>
      </x:c>
      <x:c r="E33" s="24" t="n">
        <x:v>0</x:v>
      </x:c>
      <x:c r="F33" s="24" t="n">
        <x:v>0</x:v>
      </x:c>
      <x:c r="G33" s="24" t="n">
        <x:v>0</x:v>
      </x:c>
      <x:c r="H33" s="24" t="n">
        <x:f>IF(E33=0,0,MAX(E33-F33-G33,0))</x:f>
        <x:v>0</x:v>
      </x:c>
      <x:c r="I33" s="24" t="n">
        <x:v>1</x:v>
      </x:c>
      <x:c r="J33" s="25"/>
      <x:c r="K33" s="17" t="n">
        <x:f>IF(H33=0,0,IF(ISNUMBER(J33),ROUNDUP(H33/I33,0)*J33,""))</x:f>
        <x:v>0</x:v>
      </x:c>
      <x:c r="L33" s="22" t="str"/>
      <x:c r="M33" s="23" t="str">
        <x:v>2026-09-13</x:v>
      </x:c>
      <x:c r="N33" s="15" t="str">
        <x:v>Deferred control development. One wheel encoder per side can support speed control; traction estimation also needs vehicle-motion information.</x:v>
      </x:c>
      <x:c r="O33" s="15" t="str">
        <x:v>Sensors</x:v>
      </x:c>
      <x:c r="P33" s="16" t="n">
        <x:f>IF(ISNUMBER(D33),MAX(D33-F33-G33,0),"")</x:f>
        <x:v>2</x:v>
      </x:c>
      <x:c r="Q33" s="17" t="str">
        <x:f>IF(ISNUMBER(P33),IF(P33=0,0,IF(ISNUMBER(J33),ROUNDUP(P33/I33,0)*J33,"")),"")</x:f>
      </x:c>
    </x:row>
    <x:row r="34" ht="66" customHeight="1">
      <x:c r="A34" s="15" t="str">
        <x:v>S05</x:v>
      </x:c>
      <x:c r="B34" s="15" t="str">
        <x:v>Mechanical clutch slip comparison readers
Needed with non-feedback servo</x:v>
      </x:c>
      <x:c r="C34" s="15" t="str">
        <x:v>RETIRED CLUTCH</x:v>
      </x:c>
      <x:c r="D34" s="24" t="n">
        <x:v>0</x:v>
      </x:c>
      <x:c r="E34" s="24" t="n">
        <x:v>0</x:v>
      </x:c>
      <x:c r="F34" s="24" t="n">
        <x:v>0</x:v>
      </x:c>
      <x:c r="G34" s="24" t="n">
        <x:v>0</x:v>
      </x:c>
      <x:c r="H34" s="24" t="n">
        <x:f>IF(E34=0,0,MAX(E34-F34-G34,0))</x:f>
        <x:v>0</x:v>
      </x:c>
      <x:c r="I34" s="24" t="n">
        <x:v>1</x:v>
      </x:c>
      <x:c r="J34" s="25"/>
      <x:c r="K34" s="17" t="n">
        <x:f>IF(H34=0,0,IF(ISNUMBER(J34),ROUNDUP(H34/I34,0)*J34,""))</x:f>
        <x:v>0</x:v>
      </x:c>
      <x:c r="L34" s="22" t="str"/>
      <x:c r="M34" s="23" t="str">
        <x:v>2026-09-13</x:v>
      </x:c>
      <x:c r="N34" s="15" t="str">
        <x:v>Separate before/after-clutch reader pair is unnecessary with rigid belt drive. Future bus-actuator feedback is evaluated with the controller upgrade.</x:v>
      </x:c>
      <x:c r="O34" s="15" t="str">
        <x:v>Sensors</x:v>
      </x:c>
      <x:c r="P34" s="16" t="n">
        <x:f>IF(ISNUMBER(D34),MAX(D34-F34-G34,0),"")</x:f>
        <x:v>0</x:v>
      </x:c>
      <x:c r="Q34" s="17" t="n">
        <x:f>IF(ISNUMBER(P34),IF(P34=0,0,IF(ISNUMBER(J34),ROUNDUP(P34/I34,0)*J34,"")),"")</x:f>
        <x:v>0</x:v>
      </x:c>
    </x:row>
    <x:row r="35" ht="66" customHeight="1">
      <x:c r="A35" s="15" t="str">
        <x:v>H02</x:v>
      </x:c>
      <x:c r="B35" s="15" t="str">
        <x:v>Battery straps / harness / strain relief
Exact sizes pending</x:v>
      </x:c>
      <x:c r="C35" s="15" t="str">
        <x:v>HOLD</x:v>
      </x:c>
      <x:c r="D35" s="24"/>
      <x:c r="E35" s="24" t="n">
        <x:v>0</x:v>
      </x:c>
      <x:c r="F35" s="24"/>
      <x:c r="G35" s="24" t="n">
        <x:v>0</x:v>
      </x:c>
      <x:c r="H35" s="24" t="n">
        <x:f>IF(E35=0,0,MAX(E35-F35-G35,0))</x:f>
        <x:v>0</x:v>
      </x:c>
      <x:c r="I35" s="24" t="n">
        <x:v>1</x:v>
      </x:c>
      <x:c r="J35" s="25"/>
      <x:c r="K35" s="17" t="n">
        <x:f>IF(H35=0,0,IF(ISNUMBER(J35),ROUNDUP(H35/I35,0)*J35,""))</x:f>
        <x:v>0</x:v>
      </x:c>
      <x:c r="L35" s="22" t="str"/>
      <x:c r="M35" s="23" t="str">
        <x:v>2026-09-13</x:v>
      </x:c>
      <x:c r="N35" s="15" t="str">
        <x:v>Wiring is a physical part of package. Use soldered sensor pigtails with remote removable connectors as starting route.</x:v>
      </x:c>
      <x:c r="O35" s="15" t="str">
        <x:v>Hardware</x:v>
      </x:c>
      <x:c r="P35" s="16" t="str">
        <x:f>IF(ISNUMBER(D35),MAX(D35-F35-G35,0),"")</x:f>
      </x:c>
      <x:c r="Q35" s="17" t="str">
        <x:f>IF(ISNUMBER(P35),IF(P35=0,0,IF(ISNUMBER(J35),ROUNDUP(P35/I35,0)*J35,"")),"")</x:f>
      </x:c>
    </x:row>
    <x:row r="36" ht="66" customHeight="1">
      <x:c r="A36" s="15" t="str">
        <x:v>H03</x:v>
      </x:c>
      <x:c r="B36" s="15" t="str">
        <x:v>Charging contacts and retained panel
Two contacts; product pending</x:v>
      </x:c>
      <x:c r="C36" s="15" t="str">
        <x:v>HOLD</x:v>
      </x:c>
      <x:c r="D36" s="24" t="n">
        <x:v>2</x:v>
      </x:c>
      <x:c r="E36" s="24" t="n">
        <x:v>0</x:v>
      </x:c>
      <x:c r="F36" s="24" t="n">
        <x:v>0</x:v>
      </x:c>
      <x:c r="G36" s="24" t="n">
        <x:v>0</x:v>
      </x:c>
      <x:c r="H36" s="24" t="n">
        <x:f>IF(E36=0,0,MAX(E36-F36-G36,0))</x:f>
        <x:v>0</x:v>
      </x:c>
      <x:c r="I36" s="24" t="n">
        <x:v>1</x:v>
      </x:c>
      <x:c r="J36" s="25"/>
      <x:c r="K36" s="17" t="n">
        <x:f>IF(H36=0,0,IF(ISNUMBER(J36),ROUNDUP(H36/I36,0)*J36,""))</x:f>
        <x:v>0</x:v>
      </x:c>
      <x:c r="L36" s="22" t="str"/>
      <x:c r="M36" s="23" t="str">
        <x:v>2026-09-13</x:v>
      </x:c>
      <x:c r="N36" s="15" t="str">
        <x:v>Rear/lower accessible inset panel; spring travel, recess and purchased contact size pending. Electrical charging design deferred.</x:v>
      </x:c>
      <x:c r="O36" s="15" t="str">
        <x:v>Hardware</x:v>
      </x:c>
      <x:c r="P36" s="16" t="n">
        <x:f>IF(ISNUMBER(D36),MAX(D36-F36-G36,0),"")</x:f>
        <x:v>2</x:v>
      </x:c>
      <x:c r="Q36" s="17" t="str">
        <x:f>IF(ISNUMBER(P36),IF(P36=0,0,IF(ISNUMBER(J36),ROUNDUP(P36/I36,0)*J36,"")),"")</x:f>
      </x:c>
    </x:row>
    <x:row r="37" ht="66" customHeight="1">
      <x:c r="A37" s="15" t="str">
        <x:v>E04</x:v>
      </x:c>
      <x:c r="B37" s="15" t="str">
        <x:v>Power and protection hardware
Products intentionally deferred</x:v>
      </x:c>
      <x:c r="C37" s="15" t="str">
        <x:v>HOLD</x:v>
      </x:c>
      <x:c r="D37" s="24"/>
      <x:c r="E37" s="24" t="n">
        <x:v>0</x:v>
      </x:c>
      <x:c r="F37" s="24"/>
      <x:c r="G37" s="24" t="n">
        <x:v>0</x:v>
      </x:c>
      <x:c r="H37" s="24" t="n">
        <x:f>IF(E37=0,0,MAX(E37-F37-G37,0))</x:f>
        <x:v>0</x:v>
      </x:c>
      <x:c r="I37" s="24" t="n">
        <x:v>1</x:v>
      </x:c>
      <x:c r="J37" s="25"/>
      <x:c r="K37" s="17" t="n">
        <x:f>IF(H37=0,0,IF(ISNUMBER(J37),ROUNDUP(H37/I37,0)*J37,""))</x:f>
        <x:v>0</x:v>
      </x:c>
      <x:c r="L37" s="22" t="str"/>
      <x:c r="M37" s="23" t="str">
        <x:v>2026-09-13</x:v>
      </x:c>
      <x:c r="N37" s="15" t="str">
        <x:v>Actuator disconnect, protection, separate branches and charge hardware must eventually fit. Not counted as zero mass or zero cost.</x:v>
      </x:c>
      <x:c r="O37" s="15" t="str">
        <x:v>Electronics</x:v>
      </x:c>
      <x:c r="P37" s="16" t="str">
        <x:f>IF(ISNUMBER(D37),MAX(D37-F37-G37,0),"")</x:f>
      </x:c>
      <x:c r="Q37" s="17" t="str">
        <x:f>IF(ISNUMBER(P37),IF(P37=0,0,IF(ISNUMBER(J37),ROUNDUP(P37/I37,0)*J37,"")),"")</x:f>
      </x:c>
    </x:row>
    <x:row r="38" ht="66" customHeight="1">
      <x:c r="A38" s="15" t="str">
        <x:v>H04</x:v>
      </x:c>
      <x:c r="B38" s="15" t="str">
        <x:v>Wheel-to-hub socket screws
M4x10, ISO4762 / goBILDA2800-0004-0010</x:v>
      </x:c>
      <x:c r="C38" s="15" t="str">
        <x:v>HOLD PRICE</x:v>
      </x:c>
      <x:c r="D38" s="24" t="n">
        <x:v>8</x:v>
      </x:c>
      <x:c r="E38" s="24" t="n">
        <x:v>4</x:v>
      </x:c>
      <x:c r="F38" s="24"/>
      <x:c r="G38" s="24" t="n">
        <x:v>0</x:v>
      </x:c>
      <x:c r="H38" s="24" t="n">
        <x:f>IF(E38=0,0,MAX(E38-F38-G38,0))</x:f>
        <x:v>4</x:v>
      </x:c>
      <x:c r="I38" s="24" t="n">
        <x:v>1</x:v>
      </x:c>
      <x:c r="J38" s="25"/>
      <x:c r="K38" s="17" t="str">
        <x:f>IF(H38=0,0,IF(ISNUMBER(J38),ROUNDUP(H38/I38,0)*J38,""))</x:f>
      </x:c>
      <x:c r="L38" s="22" t="str">
        <x:v>https://www.servocity.com/m4-x-0-7mm-zinc-plated-socket-head-screw-10mm-length/?sku=2800-0004-0010</x:v>
      </x:c>
      <x:c r="M38" s="23" t="str">
        <x:v>2026-10-03</x:v>
      </x:c>
      <x:c r="N38" s="15" t="str">
        <x:v>Exact 2800-0004-0010 catalog candidate. Pack/price not exposed by current variant page; verify before ordering. Four wheel hub screws per drive, nominal 6 mm engagement.</x:v>
      </x:c>
      <x:c r="O38" s="15" t="str">
        <x:v>Wheel hardware</x:v>
      </x:c>
      <x:c r="P38" s="16" t="n">
        <x:f>IF(ISNUMBER(D38),MAX(D38-F38-G38,0),"")</x:f>
        <x:v>8</x:v>
      </x:c>
      <x:c r="Q38" s="17" t="str">
        <x:f>IF(ISNUMBER(P38),IF(P38=0,0,IF(ISNUMBER(J38),ROUNDUP(P38/I38,0)*J38,"")),"")</x:f>
      </x:c>
    </x:row>
    <x:row r="39" ht="66" customHeight="1">
      <x:c r="A39" s="15" t="str">
        <x:v>H05</x:v>
      </x:c>
      <x:c r="B39" s="15" t="str">
        <x:v>Recessed bead-retainer socket screws
M4x35 ISO4762; Accu SSC-M4-35-A2-R360 reference</x:v>
      </x:c>
      <x:c r="C39" s="15" t="str">
        <x:v>HISTORICAL</x:v>
      </x:c>
      <x:c r="D39" s="24" t="n">
        <x:v>0</x:v>
      </x:c>
      <x:c r="E39" s="24" t="n">
        <x:v>0</x:v>
      </x:c>
      <x:c r="F39" s="24"/>
      <x:c r="G39" s="24" t="n">
        <x:v>0</x:v>
      </x:c>
      <x:c r="H39" s="24" t="n">
        <x:f>IF(E39=0,0,MAX(E39-F39-G39,0))</x:f>
        <x:v>0</x:v>
      </x:c>
      <x:c r="I39" s="24" t="n">
        <x:v>1</x:v>
      </x:c>
      <x:c r="J39" s="25"/>
      <x:c r="K39" s="17" t="n">
        <x:f>IF(H39=0,0,IF(ISNUMBER(J39),ROUNDUP(H39/I39,0)*J39,""))</x:f>
        <x:v>0</x:v>
      </x:c>
      <x:c r="L39" s="22" t="str">
        <x:v>https://www.accu.co.uk/metric-cap-head-screws/250081-SSC-M4-35-A2-R360</x:v>
      </x:c>
      <x:c r="M39" s="23" t="str">
        <x:v>2026-09-13</x:v>
      </x:c>
      <x:c r="N39" s="15" t="str">
        <x:v>Superseded three-piece wheel/bead concept; retained record only. No current purchase.</x:v>
      </x:c>
      <x:c r="O39" s="15" t="str">
        <x:v>Wheel hardware</x:v>
      </x:c>
      <x:c r="P39" s="16" t="n">
        <x:f>IF(ISNUMBER(D39),MAX(D39-F39-G39,0),"")</x:f>
        <x:v>0</x:v>
      </x:c>
      <x:c r="Q39" s="17" t="n">
        <x:f>IF(ISNUMBER(P39),IF(P39=0,0,IF(ISNUMBER(J39),ROUNDUP(P39/I39,0)*J39,"")),"")</x:f>
        <x:v>0</x:v>
      </x:c>
    </x:row>
    <x:row r="40" ht="66" customHeight="1">
      <x:c r="A40" s="15" t="str">
        <x:v>H06</x:v>
      </x:c>
      <x:c r="B40" s="15" t="str">
        <x:v>Captured wheel bead-retainer nuts
M4x0.7 ISO4032 plain hex;7 mm AF,3.2 mm thickness reference</x:v>
      </x:c>
      <x:c r="C40" s="15" t="str">
        <x:v>HISTORICAL</x:v>
      </x:c>
      <x:c r="D40" s="24" t="n">
        <x:v>0</x:v>
      </x:c>
      <x:c r="E40" s="24" t="n">
        <x:v>0</x:v>
      </x:c>
      <x:c r="F40" s="24"/>
      <x:c r="G40" s="24" t="n">
        <x:v>0</x:v>
      </x:c>
      <x:c r="H40" s="24" t="n">
        <x:f>IF(E40=0,0,MAX(E40-F40-G40,0))</x:f>
        <x:v>0</x:v>
      </x:c>
      <x:c r="I40" s="24" t="n">
        <x:v>1</x:v>
      </x:c>
      <x:c r="J40" s="25"/>
      <x:c r="K40" s="17" t="n">
        <x:f>IF(H40=0,0,IF(ISNUMBER(J40),ROUNDUP(H40/I40,0)*J40,""))</x:f>
        <x:v>0</x:v>
      </x:c>
      <x:c r="L40" s="22" t="str"/>
      <x:c r="M40" s="23" t="str">
        <x:v>2026-09-13</x:v>
      </x:c>
      <x:c r="N40" s="15" t="str">
        <x:v>Superseded three-piece wheel/bead concept; retained record only. No current purchase.</x:v>
      </x:c>
      <x:c r="O40" s="15" t="str">
        <x:v>Wheel hardware</x:v>
      </x:c>
      <x:c r="P40" s="16" t="n">
        <x:f>IF(ISNUMBER(D40),MAX(D40-F40-G40,0),"")</x:f>
        <x:v>0</x:v>
      </x:c>
      <x:c r="Q40" s="17" t="n">
        <x:f>IF(ISNUMBER(P40),IF(P40=0,0,IF(ISNUMBER(J40),ROUNDUP(P40/I40,0)*J40,"")),"")</x:f>
        <x:v>0</x:v>
      </x:c>
    </x:row>
    <x:row r="41" ht="100" customHeight="1">
      <x:c r="A41" s="15" t="str">
        <x:v>P06</x:v>
      </x:c>
      <x:c r="B41" s="15" t="str">
        <x:v>Removable input carriage and bearing-cap set
S20 carrier, roof-open section,4 retainers,servo bridge and positive REX horn adapter</x:v>
      </x:c>
      <x:c r="C41" s="15" t="str">
        <x:v>PRINT FIT</x:v>
      </x:c>
      <x:c r="D41" s="24" t="n">
        <x:v>2</x:v>
      </x:c>
      <x:c r="E41" s="24" t="n">
        <x:v>1</x:v>
      </x:c>
      <x:c r="F41" s="24" t="n">
        <x:v>0</x:v>
      </x:c>
      <x:c r="G41" s="24" t="n">
        <x:v>0</x:v>
      </x:c>
      <x:c r="H41" s="24" t="n">
        <x:f>IF(E41=0,0,MAX(E41-F41-G41,0))</x:f>
        <x:v>1</x:v>
      </x:c>
      <x:c r="I41" s="24" t="n">
        <x:v>1</x:v>
      </x:c>
      <x:c r="J41" s="25"/>
      <x:c r="K41" s="17" t="str">
        <x:f>IF(H41=0,0,IF(ISNUMBER(J41),ROUNDUP(H41/I41,0)*J41,""))</x:f>
      </x:c>
      <x:c r="L41" s="22" t="str">
        <x:v>Local native CAD: Roller-300.nbcad</x:v>
      </x:c>
      <x:c r="M41" s="23" t="str">
        <x:v>2026-10-06</x:v>
      </x:c>
      <x:c r="N41" s="15" t="str">
        <x:v>Eight support/interface prints per one-drive fit article: section,carrier,four retainers,bridge,adapter. P01 supplies two pulleys and P02 the wheel, for11 unique pieces total. Four servo-ear and two bridge nut captures; rounded posts and lower driver passages.</x:v>
      </x:c>
      <x:c r="O41" s="15" t="str">
        <x:v>Printed drive</x:v>
      </x:c>
      <x:c r="P41" s="16" t="n">
        <x:f>IF(ISNUMBER(D41),MAX(D41-F41-G41,0),"")</x:f>
        <x:v>2</x:v>
      </x:c>
      <x:c r="Q41" s="17" t="str">
        <x:f>IF(ISNUMBER(P41),IF(P41=0,0,IF(ISNUMBER(J41),ROUNDUP(P41/I41,0)*J41,"")),"")</x:f>
      </x:c>
    </x:row>
    <x:row r="42" ht="66" customHeight="1">
      <x:c r="A42" s="15" t="str">
        <x:v>H07</x:v>
      </x:c>
      <x:c r="B42" s="15" t="str">
        <x:v>Structural hatch screws
M4x12 countersunk 90deg candidate</x:v>
      </x:c>
      <x:c r="C42" s="15" t="str">
        <x:v>HOLD BARREL</x:v>
      </x:c>
      <x:c r="D42" s="24" t="n">
        <x:v>8</x:v>
      </x:c>
      <x:c r="E42" s="24" t="n">
        <x:v>0</x:v>
      </x:c>
      <x:c r="F42" s="24"/>
      <x:c r="G42" s="24" t="n">
        <x:v>0</x:v>
      </x:c>
      <x:c r="H42" s="24" t="n">
        <x:f>IF(E42=0,0,MAX(E42-F42-G42,0))</x:f>
        <x:v>0</x:v>
      </x:c>
      <x:c r="I42" s="24" t="n">
        <x:v>1</x:v>
      </x:c>
      <x:c r="J42" s="25"/>
      <x:c r="K42" s="17" t="n">
        <x:f>IF(H42=0,0,IF(ISNUMBER(J42),ROUNDUP(H42/I42,0)*J42,""))</x:f>
        <x:v>0</x:v>
      </x:c>
      <x:c r="L42" s="22"/>
      <x:c r="M42" s="23" t="str">
        <x:v>2026-09-19</x:v>
      </x:c>
      <x:c r="N42" s="15" t="str">
        <x:v>Whole-frame hatch deferred; exact product remains unselected. No first-drive order.</x:v>
      </x:c>
      <x:c r="O42" s="15" t="str">
        <x:v>Shell fasteners</x:v>
      </x:c>
      <x:c r="P42" s="16" t="n">
        <x:f>IF(ISNUMBER(D42),MAX(D42-F42-G42,0),"")</x:f>
        <x:v>8</x:v>
      </x:c>
      <x:c r="Q42" s="17" t="str">
        <x:f>IF(ISNUMBER(P42),IF(P42=0,0,IF(ISNUMBER(J42),ROUNDUP(P42/I42,0)*J42,"")),"")</x:f>
      </x:c>
    </x:row>
    <x:row r="43" ht="66" customHeight="1">
      <x:c r="A43" s="15" t="str">
        <x:v>H08</x:v>
      </x:c>
      <x:c r="B43" s="15" t="str">
        <x:v>M3x12 bearing-retainer screws
iexcell B08B1W1FHS; M3x0.5 socket head,12 mm</x:v>
      </x:c>
      <x:c r="C43" s="15" t="str">
        <x:v>BUY FIT CHECK</x:v>
      </x:c>
      <x:c r="D43" s="24" t="n">
        <x:v>32</x:v>
      </x:c>
      <x:c r="E43" s="24" t="n">
        <x:v>16</x:v>
      </x:c>
      <x:c r="F43" s="24"/>
      <x:c r="G43" s="24" t="n">
        <x:v>0</x:v>
      </x:c>
      <x:c r="H43" s="24" t="n">
        <x:f>IF(E43=0,0,MAX(E43-F43-G43,0))</x:f>
        <x:v>16</x:v>
      </x:c>
      <x:c r="I43" s="24" t="n">
        <x:v>100</x:v>
      </x:c>
      <x:c r="J43" s="25" t="n">
        <x:v>8.26</x:v>
      </x:c>
      <x:c r="K43" s="17" t="n">
        <x:f>IF(H43=0,0,IF(ISNUMBER(J43),ROUNDUP(H43/I43,0)*J43,""))</x:f>
        <x:v>8.26</x:v>
      </x:c>
      <x:c r="L43" s="22" t="str">
        <x:v>https://www.amazon.com/dp/B08B1W1FHS</x:v>
      </x:c>
      <x:c r="M43" s="23" t="str">
        <x:v>2026-10-04</x:v>
      </x:c>
      <x:c r="N43" s="15" t="str">
        <x:v>100-pack replaces six-packs. Recorded listing head D5.50 x2.93mm,12mm thread,2.5mm hex, grade12.9 alloy steel/black oxide. Sixteen bearing-retainer screws per drive. Current servo ears use four M3x10 screws per drive, separately H27. Verify received head/seat dimensions; PETG preload remains limited.</x:v>
      </x:c>
      <x:c r="O43" s="15" t="str">
        <x:v>Shell fasteners</x:v>
      </x:c>
      <x:c r="P43" s="16" t="n">
        <x:f>IF(ISNUMBER(D43),MAX(D43-F43-G43,0),"")</x:f>
        <x:v>32</x:v>
      </x:c>
      <x:c r="Q43" s="17" t="n">
        <x:f>IF(ISNUMBER(P43),IF(P43=0,0,IF(ISNUMBER(J43),ROUNDUP(P43/I43,0)*J43,"")),"")</x:f>
        <x:v>8.26</x:v>
      </x:c>
    </x:row>
    <x:row r="44" ht="66" customHeight="1">
      <x:c r="A44" s="15" t="str">
        <x:v>H09</x:v>
      </x:c>
      <x:c r="B44" s="15" t="str">
        <x:v>Carrier tension screws
2802-0004-0014; M4x0.7 button head,14 mm</x:v>
      </x:c>
      <x:c r="C44" s="15" t="str">
        <x:v>BUY FIT CHECK</x:v>
      </x:c>
      <x:c r="D44" s="24" t="n">
        <x:v>6</x:v>
      </x:c>
      <x:c r="E44" s="24" t="n">
        <x:v>3</x:v>
      </x:c>
      <x:c r="F44" s="24"/>
      <x:c r="G44" s="24" t="n">
        <x:v>0</x:v>
      </x:c>
      <x:c r="H44" s="24" t="n">
        <x:f>IF(E44=0,0,MAX(E44-F44-G44,0))</x:f>
        <x:v>3</x:v>
      </x:c>
      <x:c r="I44" s="24" t="n">
        <x:v>25</x:v>
      </x:c>
      <x:c r="J44" s="25" t="n">
        <x:v>3.69</x:v>
      </x:c>
      <x:c r="K44" s="17" t="n">
        <x:f>IF(H44=0,0,IF(ISNUMBER(J44),ROUNDUP(H44/I44,0)*J44,""))</x:f>
        <x:v>3.69</x:v>
      </x:c>
      <x:c r="L44" s="22" t="str">
        <x:v>https://www.servocity.com/2802-series-zinc-plated-steel-button-head-screw-m4-x-0-7mm-14mm-length-25-pack/</x:v>
      </x:c>
      <x:c r="M44" s="23" t="str">
        <x:v>2026-10-03</x:v>
      </x:c>
      <x:c r="N44" s="15" t="str">
        <x:v>Three per carrier; exact active geometry. Use 9x4.3x0.8 washers H19 and M4 plain nuts H12. Physical receiving check remains.</x:v>
      </x:c>
      <x:c r="O44" s="15" t="str">
        <x:v>Shell fasteners</x:v>
      </x:c>
      <x:c r="P44" s="16" t="n">
        <x:f>IF(ISNUMBER(D44),MAX(D44-F44-G44,0),"")</x:f>
        <x:v>6</x:v>
      </x:c>
      <x:c r="Q44" s="17" t="n">
        <x:f>IF(ISNUMBER(P44),IF(P44=0,0,IF(ISNUMBER(J44),ROUNDUP(P44/I44,0)*J44,"")),"")</x:f>
        <x:v>3.69</x:v>
      </x:c>
    </x:row>
    <x:row r="45" ht="66" customHeight="1">
      <x:c r="A45" s="15" t="str">
        <x:v>H10</x:v>
      </x:c>
      <x:c r="B45" s="15" t="str">
        <x:v>Input bearing-cap screws
M3x30 socket-head candidate</x:v>
      </x:c>
      <x:c r="C45" s="15" t="str">
        <x:v>SUPERSEDED</x:v>
      </x:c>
      <x:c r="D45" s="24" t="n">
        <x:v>0</x:v>
      </x:c>
      <x:c r="E45" s="24" t="n">
        <x:v>0</x:v>
      </x:c>
      <x:c r="F45" s="24"/>
      <x:c r="G45" s="24" t="n">
        <x:v>0</x:v>
      </x:c>
      <x:c r="H45" s="24" t="n">
        <x:f>IF(E45=0,0,MAX(E45-F45-G45,0))</x:f>
        <x:v>0</x:v>
      </x:c>
      <x:c r="I45" s="24" t="n">
        <x:v>1</x:v>
      </x:c>
      <x:c r="J45" s="25"/>
      <x:c r="K45" s="17" t="n">
        <x:f>IF(H45=0,0,IF(ISNUMBER(J45),ROUNDUP(H45/I45,0)*J45,""))</x:f>
        <x:v>0</x:v>
      </x:c>
      <x:c r="L45" s="22"/>
      <x:c r="M45" s="23" t="str">
        <x:v>2026-09-19</x:v>
      </x:c>
      <x:c r="N45" s="15" t="str">
        <x:v>Old M3x30 input-cap candidate retired. Active standalone retainers use M3x12; counts consolidated in H08.</x:v>
      </x:c>
      <x:c r="O45" s="15" t="str">
        <x:v>Shell fasteners</x:v>
      </x:c>
      <x:c r="P45" s="16" t="n">
        <x:f>IF(ISNUMBER(D45),MAX(D45-F45-G45,0),"")</x:f>
        <x:v>0</x:v>
      </x:c>
      <x:c r="Q45" s="17" t="n">
        <x:f>IF(ISNUMBER(P45),IF(P45=0,0,IF(ISNUMBER(J45),ROUNDUP(P45/I45,0)*J45,"")),"")</x:f>
        <x:v>0</x:v>
      </x:c>
    </x:row>
    <x:row r="46" ht="66" customHeight="1">
      <x:c r="A46" s="15" t="str">
        <x:v>H11</x:v>
      </x:c>
      <x:c r="B46" s="15" t="str">
        <x:v>All active M3 plain captive nuts
M3x0.5 plain hex; kit includes150</x:v>
      </x:c>
      <x:c r="C46" s="15" t="str">
        <x:v>INCLUDED KIT</x:v>
      </x:c>
      <x:c r="D46" s="24" t="n">
        <x:v>44</x:v>
      </x:c>
      <x:c r="E46" s="24" t="n">
        <x:v>22</x:v>
      </x:c>
      <x:c r="F46" s="24"/>
      <x:c r="G46" s="24" t="n">
        <x:v>0</x:v>
      </x:c>
      <x:c r="H46" s="24" t="n">
        <x:f>IF(E46=0,0,MAX(E46-F46-G46,0))</x:f>
        <x:v>22</x:v>
      </x:c>
      <x:c r="I46" s="24" t="n">
        <x:v>150</x:v>
      </x:c>
      <x:c r="J46" s="25"/>
      <x:c r="K46" s="17" t="str">
        <x:f>IF(H46=0,0,IF(ISNUMBER(J46),ROUNDUP(H46/I46,0)*J46,""))</x:f>
      </x:c>
      <x:c r="L46" s="22" t="str">
        <x:v>https://www.amazon.com/dp/B0GV4G5DNP</x:v>
      </x:c>
      <x:c r="M46" s="23" t="str">
        <x:v>2026-10-06</x:v>
      </x:c>
      <x:c r="N46" s="15" t="str">
        <x:v>22 per drive: bearing retainers16 + servo ears4 + upper bridge2. Both input pinch nuts retired. Plain M3 nuts in H21; native pockets tested with AF5.5 x2.4 nominal hardware.</x:v>
      </x:c>
      <x:c r="O46" s="15" t="str">
        <x:v>Shell fasteners</x:v>
      </x:c>
      <x:c r="P46" s="16" t="n">
        <x:f>IF(ISNUMBER(D46),MAX(D46-F46-G46,0),"")</x:f>
        <x:v>44</x:v>
      </x:c>
      <x:c r="Q46" s="17" t="str">
        <x:f>IF(ISNUMBER(P46),IF(P46=0,0,IF(ISNUMBER(J46),ROUNDUP(P46/I46,0)*J46,"")),"")</x:f>
      </x:c>
    </x:row>
    <x:row r="47" ht="66" customHeight="1">
      <x:c r="A47" s="15" t="str">
        <x:v>H12</x:v>
      </x:c>
      <x:c r="B47" s="15" t="str">
        <x:v>Carrier and deferred hatch M4 plain nuts
2811-0004-0007; M4x0.7,7 mm hex</x:v>
      </x:c>
      <x:c r="C47" s="15" t="str">
        <x:v>BUY FIT CHECK</x:v>
      </x:c>
      <x:c r="D47" s="24" t="n">
        <x:v>14</x:v>
      </x:c>
      <x:c r="E47" s="24" t="n">
        <x:v>3</x:v>
      </x:c>
      <x:c r="F47" s="24"/>
      <x:c r="G47" s="24" t="n">
        <x:v>0</x:v>
      </x:c>
      <x:c r="H47" s="24" t="n">
        <x:f>IF(E47=0,0,MAX(E47-F47-G47,0))</x:f>
        <x:v>3</x:v>
      </x:c>
      <x:c r="I47" s="24" t="n">
        <x:v>25</x:v>
      </x:c>
      <x:c r="J47" s="25" t="n">
        <x:v>2.49</x:v>
      </x:c>
      <x:c r="K47" s="17" t="n">
        <x:f>IF(H47=0,0,IF(ISNUMBER(J47),ROUNDUP(H47/I47,0)*J47,""))</x:f>
        <x:v>2.49</x:v>
      </x:c>
      <x:c r="L47" s="22" t="str">
        <x:v>https://www.servocity.com/2811-series-zinc-plated-steel-hex-nut-m4-x-0-7mm-7mm-hex-25-pack/</x:v>
      </x:c>
      <x:c r="M47" s="23" t="str">
        <x:v>2026-10-03</x:v>
      </x:c>
      <x:c r="N47" s="15" t="str">
        <x:v>Current carrier3 per drive + deferred hatch8 per vehicle. Wheel/input retainers now use M3. Verify actual nut height3.2 mm and pocket fit.</x:v>
      </x:c>
      <x:c r="O47" s="15" t="str">
        <x:v>Shell fasteners</x:v>
      </x:c>
      <x:c r="P47" s="16" t="n">
        <x:f>IF(ISNUMBER(D47),MAX(D47-F47-G47,0),"")</x:f>
        <x:v>14</x:v>
      </x:c>
      <x:c r="Q47" s="17" t="n">
        <x:f>IF(ISNUMBER(P47),IF(P47=0,0,IF(ISNUMBER(J47),ROUNDUP(P47/I47,0)*J47,"")),"")</x:f>
        <x:v>2.49</x:v>
      </x:c>
    </x:row>
    <x:row r="48" ht="66" customHeight="1">
      <x:c r="A48" s="15" t="str">
        <x:v>M12</x:v>
      </x:c>
      <x:c r="B48" s="15" t="str">
        <x:v>Inboard bearing inner-race spacer
1522-0010-0030;8 ID x10 OD x3 mm</x:v>
      </x:c>
      <x:c r="C48" s="15" t="str">
        <x:v>BUY FIT CHECK</x:v>
      </x:c>
      <x:c r="D48" s="24" t="n">
        <x:v>2</x:v>
      </x:c>
      <x:c r="E48" s="24" t="n">
        <x:v>1</x:v>
      </x:c>
      <x:c r="F48" s="24"/>
      <x:c r="G48" s="24" t="n">
        <x:v>0</x:v>
      </x:c>
      <x:c r="H48" s="24" t="n">
        <x:f>IF(E48=0,0,MAX(E48-F48-G48,0))</x:f>
        <x:v>1</x:v>
      </x:c>
      <x:c r="I48" s="24" t="n">
        <x:v>4</x:v>
      </x:c>
      <x:c r="J48" s="25" t="n">
        <x:v>2.99</x:v>
      </x:c>
      <x:c r="K48" s="17" t="n">
        <x:f>IF(H48=0,0,IF(ISNUMBER(J48),ROUNDUP(H48/I48,0)*J48,""))</x:f>
        <x:v>2.99</x:v>
      </x:c>
      <x:c r="L48" s="22" t="str">
        <x:v>https://www.servocity.com/1522-series-8mm-id-spacer-10mm-od-3mm-length-4-pack/</x:v>
      </x:c>
      <x:c r="M48" s="23" t="str">
        <x:v>2026-10-03</x:v>
      </x:c>
      <x:c r="N48" s="15" t="str">
        <x:v>Published nominal dimensions; steel0.62 g each. Received tolerance and endplay verification remain. Price observed, stock/delivery not guaranteed; no purchase made.</x:v>
      </x:c>
      <x:c r="O48" s="15" t="str">
        <x:v>Wheel retention</x:v>
      </x:c>
      <x:c r="P48" s="16" t="n">
        <x:f>IF(ISNUMBER(D48),MAX(D48-F48-G48,0),"")</x:f>
        <x:v>2</x:v>
      </x:c>
      <x:c r="Q48" s="17" t="n">
        <x:f>IF(ISNUMBER(P48),IF(P48=0,0,IF(ISNUMBER(J48),ROUNDUP(P48/I48,0)*J48,"")),"")</x:f>
        <x:v>2.99</x:v>
      </x:c>
    </x:row>
    <x:row r="49" ht="66" customHeight="1">
      <x:c r="A49" s="15" t="str">
        <x:v>M13</x:v>
      </x:c>
      <x:c r="B49" s="15" t="str">
        <x:v>Outboard wheel retention spacer
1529-0012-0100;8 ID x12 OD x10 mm</x:v>
      </x:c>
      <x:c r="C49" s="15" t="str">
        <x:v>SUPERSEDED</x:v>
      </x:c>
      <x:c r="D49" s="24" t="n">
        <x:v>0</x:v>
      </x:c>
      <x:c r="E49" s="24" t="n">
        <x:v>0</x:v>
      </x:c>
      <x:c r="F49" s="24"/>
      <x:c r="G49" s="24" t="n">
        <x:v>0</x:v>
      </x:c>
      <x:c r="H49" s="24" t="n">
        <x:f>IF(E49=0,0,MAX(E49-F49-G49,0))</x:f>
        <x:v>0</x:v>
      </x:c>
      <x:c r="I49" s="24" t="n">
        <x:v>4</x:v>
      </x:c>
      <x:c r="J49" s="25" t="n">
        <x:v>1.99</x:v>
      </x:c>
      <x:c r="K49" s="17" t="n">
        <x:f>IF(H49=0,0,IF(ISNUMBER(J49),ROUNDUP(H49/I49,0)*J49,""))</x:f>
        <x:v>0</x:v>
      </x:c>
      <x:c r="L49" s="22" t="str">
        <x:v>https://www.gobilda.com/8mm-id-steel-spacer-12mm-od-10mm-length-4-pack/</x:v>
      </x:c>
      <x:c r="M49" s="23" t="str">
        <x:v>2026-09-19</x:v>
      </x:c>
      <x:c r="N49" s="15" t="str">
        <x:v>Historical10mm output spacer retired. Current output stop is stock6mm M18 plus2mm M20, D10/ID8, total8mm.</x:v>
      </x:c>
      <x:c r="O49" s="15" t="str">
        <x:v>Wheel retention</x:v>
      </x:c>
      <x:c r="P49" s="16" t="n">
        <x:f>IF(ISNUMBER(D49),MAX(D49-F49-G49,0),"")</x:f>
        <x:v>0</x:v>
      </x:c>
      <x:c r="Q49" s="17" t="n">
        <x:f>IF(ISNUMBER(P49),IF(P49=0,0,IF(ISNUMBER(J49),ROUNDUP(P49/I49,0)*J49,"")),"")</x:f>
        <x:v>0</x:v>
      </x:c>
    </x:row>
    <x:row r="50" ht="66" customHeight="1">
      <x:c r="A50" s="15" t="str">
        <x:v>M14</x:v>
      </x:c>
      <x:c r="B50" s="15" t="str">
        <x:v>Outboard inner-race shim
2807-0811-0500;8 ID x11 OD x0.5 mm</x:v>
      </x:c>
      <x:c r="C50" s="15" t="str">
        <x:v>SUPERSEDED</x:v>
      </x:c>
      <x:c r="D50" s="24" t="n">
        <x:v>0</x:v>
      </x:c>
      <x:c r="E50" s="24" t="n">
        <x:v>0</x:v>
      </x:c>
      <x:c r="F50" s="24"/>
      <x:c r="G50" s="24" t="n">
        <x:v>0</x:v>
      </x:c>
      <x:c r="H50" s="24" t="n">
        <x:f>IF(E50=0,0,MAX(E50-F50-G50,0))</x:f>
        <x:v>0</x:v>
      </x:c>
      <x:c r="I50" s="24" t="n">
        <x:v>12</x:v>
      </x:c>
      <x:c r="J50" s="25" t="n">
        <x:v>2.69</x:v>
      </x:c>
      <x:c r="K50" s="17" t="n">
        <x:f>IF(H50=0,0,IF(ISNUMBER(J50),ROUNDUP(H50/I50,0)*J50,""))</x:f>
        <x:v>0</x:v>
      </x:c>
      <x:c r="L50" s="22" t="str">
        <x:v>https://www.gobilda.com/2807-series-stainless-steel-shim-8mm-id-x-11mm-od-0-50mm-thickness-12-pack/</x:v>
      </x:c>
      <x:c r="M50" s="23" t="str">
        <x:v>2026-09-19</x:v>
      </x:c>
      <x:c r="N50" s="15" t="str">
        <x:v>Historical outboard wheel0.5mm shim retired. Current input rear shim is0.5mm M19; the old1.7mm stack is retired.</x:v>
      </x:c>
      <x:c r="O50" s="15" t="str">
        <x:v>Wheel retention</x:v>
      </x:c>
      <x:c r="P50" s="16" t="n">
        <x:f>IF(ISNUMBER(D50),MAX(D50-F50-G50,0),"")</x:f>
        <x:v>0</x:v>
      </x:c>
      <x:c r="Q50" s="17" t="n">
        <x:f>IF(ISNUMBER(P50),IF(P50=0,0,IF(ISNUMBER(J50),ROUNDUP(P50/I50,0)*J50,"")),"")</x:f>
        <x:v>0</x:v>
      </x:c>
    </x:row>
    <x:row r="51" ht="66" customHeight="1">
      <x:c r="A51" s="15" t="str">
        <x:v>H13</x:v>
      </x:c>
      <x:c r="B51" s="15" t="str">
        <x:v>Removable servo restraint straps
8 mm width candidate; length measured after horn/ear check</x:v>
      </x:c>
      <x:c r="C51" s="15" t="str">
        <x:v>SUPERSEDED</x:v>
      </x:c>
      <x:c r="D51" s="24" t="n">
        <x:v>0</x:v>
      </x:c>
      <x:c r="E51" s="24" t="n">
        <x:v>0</x:v>
      </x:c>
      <x:c r="F51" s="24"/>
      <x:c r="G51" s="24" t="n">
        <x:v>0</x:v>
      </x:c>
      <x:c r="H51" s="24" t="n">
        <x:f>IF(E51=0,0,MAX(E51-F51-G51,0))</x:f>
        <x:v>0</x:v>
      </x:c>
      <x:c r="I51" s="24" t="n">
        <x:v>1</x:v>
      </x:c>
      <x:c r="J51" s="25"/>
      <x:c r="K51" s="17" t="n">
        <x:f>IF(H51=0,0,IF(ISNUMBER(J51),ROUNDUP(H51/I51,0)*J51,""))</x:f>
        <x:v>0</x:v>
      </x:c>
      <x:c r="L51" s="22"/>
      <x:c r="M51" s="23" t="str">
        <x:v>2026-09-19</x:v>
      </x:c>
      <x:c r="N51" s="15" t="str">
        <x:v>Servo restraint straps retired. Current bridge uses two M3x16 pan screws H17, and servo ears use four M3x10 socket screws H27 per drive.</x:v>
      </x:c>
      <x:c r="O51" s="15" t="str">
        <x:v>Shell fasteners</x:v>
      </x:c>
      <x:c r="P51" s="16" t="n">
        <x:f>IF(ISNUMBER(D51),MAX(D51-F51-G51,0),"")</x:f>
        <x:v>0</x:v>
      </x:c>
      <x:c r="Q51" s="17" t="n">
        <x:f>IF(ISNUMBER(P51),IF(P51=0,0,IF(ISNUMBER(J51),ROUNDUP(P51/I51,0)*J51,"")),"")</x:f>
        <x:v>0</x:v>
      </x:c>
    </x:row>
    <x:row r="52" ht="66" customHeight="1">
      <x:c r="A52" s="15" t="str">
        <x:v>M15</x:v>
      </x:c>
      <x:c r="B52" s="15" t="str">
        <x:v>Metal servo horn
1906-0025-0032;25T,32 mm</x:v>
      </x:c>
      <x:c r="C52" s="15" t="str">
        <x:v>BUY FIT</x:v>
      </x:c>
      <x:c r="D52" s="24" t="n">
        <x:v>2</x:v>
      </x:c>
      <x:c r="E52" s="24" t="n">
        <x:v>1</x:v>
      </x:c>
      <x:c r="F52" s="24"/>
      <x:c r="G52" s="24" t="n">
        <x:v>0</x:v>
      </x:c>
      <x:c r="H52" s="24" t="n">
        <x:f>IF(E52=0,0,MAX(E52-F52-G52,0))</x:f>
        <x:v>1</x:v>
      </x:c>
      <x:c r="I52" s="24" t="n">
        <x:v>1</x:v>
      </x:c>
      <x:c r="J52" s="25" t="n">
        <x:v>4.99</x:v>
      </x:c>
      <x:c r="K52" s="17" t="n">
        <x:f>IF(H52=0,0,IF(ISNUMBER(J52),ROUNDUP(H52/I52,0)*J52,""))</x:f>
        <x:v>4.99</x:v>
      </x:c>
      <x:c r="L52" s="22" t="str">
        <x:v>https://www.servocity.com/1906-series-lightweight-servo-hub-25-tooth-spline-32mm-diameter/</x:v>
      </x:c>
      <x:c r="M52" s="23" t="str">
        <x:v>2026-10-06</x:v>
      </x:c>
      <x:c r="N52" s="15" t="str">
        <x:v>Official STEP integrated into both drives. Nominal H25T/5.9mm INJORA interface; verify seating and retaining screw by hand. Manufacturer drawing and STEP have differing pilot dimensions: adapter clearance accommodates both.</x:v>
      </x:c>
      <x:c r="O52" s="15" t="str">
        <x:v>Drivetrain</x:v>
      </x:c>
      <x:c r="P52" s="16" t="n">
        <x:f>IF(ISNUMBER(D52),MAX(D52-F52-G52,0),"")</x:f>
        <x:v>2</x:v>
      </x:c>
      <x:c r="Q52" s="17" t="n">
        <x:f>IF(ISNUMBER(P52),IF(P52=0,0,IF(ISNUMBER(J52),ROUNDUP(P52/I52,0)*J52,"")),"")</x:f>
        <x:v>9.98</x:v>
      </x:c>
    </x:row>
    <x:row r="53" ht="66" customHeight="1">
      <x:c r="A53" s="15" t="str">
        <x:v>M16</x:v>
      </x:c>
      <x:c r="B53" s="15" t="str">
        <x:v>Rigid output shaft clamping hub
1309-0016-0008;8 mm Sonic Hub</x:v>
      </x:c>
      <x:c r="C53" s="15" t="str">
        <x:v>BUY FIT CHECK</x:v>
      </x:c>
      <x:c r="D53" s="24" t="n">
        <x:v>2</x:v>
      </x:c>
      <x:c r="E53" s="24" t="n">
        <x:v>1</x:v>
      </x:c>
      <x:c r="F53" s="24"/>
      <x:c r="G53" s="24" t="n">
        <x:v>0</x:v>
      </x:c>
      <x:c r="H53" s="24" t="n">
        <x:f>IF(E53=0,0,MAX(E53-F53-G53,0))</x:f>
        <x:v>1</x:v>
      </x:c>
      <x:c r="I53" s="24" t="n">
        <x:v>1</x:v>
      </x:c>
      <x:c r="J53" s="25" t="n">
        <x:v>7.99</x:v>
      </x:c>
      <x:c r="K53" s="17" t="n">
        <x:f>IF(H53=0,0,IF(ISNUMBER(J53),ROUNDUP(H53/I53,0)*J53,""))</x:f>
        <x:v>7.99</x:v>
      </x:c>
      <x:c r="L53" s="22" t="str">
        <x:v>https://www.servocity.com/1309-series-sonic-hub-8mm-bore/</x:v>
      </x:c>
      <x:c r="M53" s="23" t="str">
        <x:v>2026-10-03</x:v>
      </x:c>
      <x:c r="N53" s="15" t="str">
        <x:v>Existing metal Sonic hub moved beside 48T pulley, mounting face |Y|65.25. Four recessed M4x16 screws; nominal6.2mm engagement. Verify pilot, clamp and threads on receipt.</x:v>
      </x:c>
      <x:c r="O53" s="15" t="str">
        <x:v>Drivetrain</x:v>
      </x:c>
      <x:c r="P53" s="16" t="n">
        <x:f>IF(ISNUMBER(D53),MAX(D53-F53-G53,0),"")</x:f>
        <x:v>2</x:v>
      </x:c>
      <x:c r="Q53" s="17" t="n">
        <x:f>IF(ISNUMBER(P53),IF(P53=0,0,IF(ISNUMBER(J53),ROUNDUP(P53/I53,0)*J53,"")),"")</x:f>
        <x:v>15.98</x:v>
      </x:c>
    </x:row>
    <x:row r="54" ht="66" customHeight="1">
      <x:c r="A54" s="15" t="str">
        <x:v>M17</x:v>
      </x:c>
      <x:c r="B54" s="15" t="str">
        <x:v>Clutch compression springs
2916-0001-0002;8 OD/6 ID,25 free length</x:v>
      </x:c>
      <x:c r="C54" s="15" t="str">
        <x:v>RETIRED CLUTCH</x:v>
      </x:c>
      <x:c r="D54" s="24" t="n">
        <x:v>0</x:v>
      </x:c>
      <x:c r="E54" s="24" t="n">
        <x:v>0</x:v>
      </x:c>
      <x:c r="F54" s="24"/>
      <x:c r="G54" s="24" t="n">
        <x:v>0</x:v>
      </x:c>
      <x:c r="H54" s="24" t="n">
        <x:f>IF(E54=0,0,MAX(E54-F54-G54,0))</x:f>
        <x:v>0</x:v>
      </x:c>
      <x:c r="I54" s="24" t="n">
        <x:v>2</x:v>
      </x:c>
      <x:c r="J54" s="25" t="n">
        <x:v>3.99</x:v>
      </x:c>
      <x:c r="K54" s="17" t="n">
        <x:f>IF(H54=0,0,IF(ISNUMBER(J54),ROUNDUP(H54/I54,0)*J54,""))</x:f>
        <x:v>0</x:v>
      </x:c>
      <x:c r="L54" s="22" t="str">
        <x:v>https://www.servocity.com/compression-spring-6mm-id-x-8mm-od-2-3kg-max-load-16-25mm-length-2-pack/</x:v>
      </x:c>
      <x:c r="M54" s="23" t="str">
        <x:v>2026-10-03</x:v>
      </x:c>
      <x:c r="N54" s="15" t="str">
        <x:v>Retired by approved rigid belt drive on 2026-10-05. No current print or purchase requirement.</x:v>
      </x:c>
      <x:c r="O54" s="15" t="str">
        <x:v>Drivetrain</x:v>
      </x:c>
      <x:c r="P54" s="16" t="n">
        <x:f>IF(ISNUMBER(D54),MAX(D54-F54-G54,0),"")</x:f>
        <x:v>0</x:v>
      </x:c>
      <x:c r="Q54" s="17" t="n">
        <x:f>IF(ISNUMBER(P54),IF(P54=0,0,IF(ISNUMBER(J54),ROUNDUP(P54/I54,0)*J54,"")),"")</x:f>
        <x:v>0</x:v>
      </x:c>
    </x:row>
    <x:row r="55" ht="66" customHeight="1">
      <x:c r="A55" s="15" t="str">
        <x:v>M18</x:v>
      </x:c>
      <x:c r="B55" s="15" t="str">
        <x:v>Input and output inner-race metal spacers, 6mm
1522-0010-0060; 8ID x10OD x6; 4-pack</x:v>
      </x:c>
      <x:c r="C55" s="15" t="str">
        <x:v>BUY FIT CHECK</x:v>
      </x:c>
      <x:c r="D55" s="24" t="n">
        <x:v>4</x:v>
      </x:c>
      <x:c r="E55" s="24" t="n">
        <x:v>2</x:v>
      </x:c>
      <x:c r="F55" s="24"/>
      <x:c r="G55" s="24" t="n">
        <x:v>0</x:v>
      </x:c>
      <x:c r="H55" s="24" t="n">
        <x:f>IF(E55=0,0,MAX(E55-F55-G55,0))</x:f>
        <x:v>2</x:v>
      </x:c>
      <x:c r="I55" s="24" t="n">
        <x:v>4</x:v>
      </x:c>
      <x:c r="J55" s="25" t="n">
        <x:v>3.49</x:v>
      </x:c>
      <x:c r="K55" s="17" t="n">
        <x:f>IF(H55=0,0,IF(ISNUMBER(J55),ROUNDUP(H55/I55,0)*J55,""))</x:f>
        <x:v>3.49</x:v>
      </x:c>
      <x:c r="L55" s="22" t="str">
        <x:v>https://www.servocity.com/1522-series-8mm-id-spacer-10mm-od-6mm-length-4-pack/</x:v>
      </x:c>
      <x:c r="M55" s="23" t="str">
        <x:v>2026-10-06</x:v>
      </x:c>
      <x:c r="N55" s="15" t="str">
        <x:v>One input rear spacer Y88..94 and one output mouth spacer Y105..111 per drive. Stock manufacturer STEP replaces the unsourced 6mm clamp collar. One four-pack covers both drives.</x:v>
      </x:c>
      <x:c r="O55" s="15" t="str">
        <x:v>Drivetrain</x:v>
      </x:c>
      <x:c r="P55" s="16" t="n">
        <x:f>IF(ISNUMBER(D55),MAX(D55-F55-G55,0),"")</x:f>
        <x:v>4</x:v>
      </x:c>
      <x:c r="Q55" s="17" t="n">
        <x:f>IF(ISNUMBER(P55),IF(P55=0,0,IF(ISNUMBER(J55),ROUNDUP(P55/I55,0)*J55,"")),"")</x:f>
        <x:v>3.49</x:v>
      </x:c>
    </x:row>
    <x:row r="56" ht="66" customHeight="1">
      <x:c r="A56" s="15" t="str">
        <x:v>M19</x:v>
      </x:c>
      <x:c r="B56" s="15" t="str">
        <x:v>Input rear metal shim, 0.5mm
2807-0811-0500; 8ID x11OD x0.5; 12-pack</x:v>
      </x:c>
      <x:c r="C56" s="15" t="str">
        <x:v>BUY FIT CHECK</x:v>
      </x:c>
      <x:c r="D56" s="24" t="n">
        <x:v>2</x:v>
      </x:c>
      <x:c r="E56" s="24" t="n">
        <x:v>1</x:v>
      </x:c>
      <x:c r="F56" s="24"/>
      <x:c r="G56" s="24" t="n">
        <x:v>0</x:v>
      </x:c>
      <x:c r="H56" s="24" t="n">
        <x:f>IF(E56=0,0,MAX(E56-F56-G56,0))</x:f>
        <x:v>1</x:v>
      </x:c>
      <x:c r="I56" s="24" t="n">
        <x:v>12</x:v>
      </x:c>
      <x:c r="J56" s="25" t="n">
        <x:v>2.69</x:v>
      </x:c>
      <x:c r="K56" s="17" t="n">
        <x:f>IF(H56=0,0,IF(ISNUMBER(J56),ROUNDUP(H56/I56,0)*J56,""))</x:f>
        <x:v>2.69</x:v>
      </x:c>
      <x:c r="L56" s="22" t="str">
        <x:v>https://www.servocity.com/2807-series-stainless-steel-shim-8mm-id-x-11mm-od-0-50mm-thickness-12-pack/</x:v>
      </x:c>
      <x:c r="M56" s="23" t="str">
        <x:v>2026-10-06</x:v>
      </x:c>
      <x:c r="N56" s="15" t="str">
        <x:v>One per drive Y94..94.5. Actual manufacturer STEP; old unsourced 1.7mm stack retired. Receiving endplay checked before tightening; no outer-race preload.</x:v>
      </x:c>
      <x:c r="O56" s="15" t="str">
        <x:v>Drivetrain</x:v>
      </x:c>
      <x:c r="P56" s="16" t="n">
        <x:f>IF(ISNUMBER(D56),MAX(D56-F56-G56,0),"")</x:f>
        <x:v>2</x:v>
      </x:c>
      <x:c r="Q56" s="17" t="n">
        <x:f>IF(ISNUMBER(P56),IF(P56=0,0,IF(ISNUMBER(J56),ROUNDUP(P56/I56,0)*J56,"")),"")</x:f>
        <x:v>2.69</x:v>
      </x:c>
    </x:row>
    <x:row r="57" ht="66" customHeight="1">
      <x:c r="A57" s="15" t="str">
        <x:v>M20</x:v>
      </x:c>
      <x:c r="B57" s="15" t="str">
        <x:v>Output mouth metal spacer, additional 2mm
1522-0010-0020; 8ID x10OD x2; 4-pack</x:v>
      </x:c>
      <x:c r="C57" s="15" t="str">
        <x:v>BUY FIT CHECK</x:v>
      </x:c>
      <x:c r="D57" s="24" t="n">
        <x:v>2</x:v>
      </x:c>
      <x:c r="E57" s="24" t="n">
        <x:v>1</x:v>
      </x:c>
      <x:c r="F57" s="24"/>
      <x:c r="G57" s="24" t="n">
        <x:v>0</x:v>
      </x:c>
      <x:c r="H57" s="24" t="n">
        <x:f>IF(E57=0,0,MAX(E57-F57-G57,0))</x:f>
        <x:v>1</x:v>
      </x:c>
      <x:c r="I57" s="24" t="n">
        <x:v>4</x:v>
      </x:c>
      <x:c r="J57" s="25" t="n">
        <x:v>2.79</x:v>
      </x:c>
      <x:c r="K57" s="17" t="n">
        <x:f>IF(H57=0,0,IF(ISNUMBER(J57),ROUNDUP(H57/I57,0)*J57,""))</x:f>
        <x:v>2.79</x:v>
      </x:c>
      <x:c r="L57" s="22" t="str">
        <x:v>https://www.servocity.com/1522-series-8mm-id-spacer-10mm-od-2mm-length-4-pack/</x:v>
      </x:c>
      <x:c r="M57" s="23" t="str">
        <x:v>2026-10-06</x:v>
      </x:c>
      <x:c r="N57" s="15" t="str">
        <x:v>Y111..113, together with M18 output 6mm spacer forms the required 8mm stop. Actual manufacturer STEP. Supersedes unsourced 11OD x8 spacer; avoids the ambiguous 8mm product URL currently labeled 9mm.</x:v>
      </x:c>
      <x:c r="O57" s="15" t="str">
        <x:v>Drivetrain</x:v>
      </x:c>
      <x:c r="P57" s="16" t="n">
        <x:f>IF(ISNUMBER(D57),MAX(D57-F57-G57,0),"")</x:f>
        <x:v>2</x:v>
      </x:c>
      <x:c r="Q57" s="17" t="n">
        <x:f>IF(ISNUMBER(P57),IF(P57=0,0,IF(ISNUMBER(J57),ROUNDUP(P57/I57,0)*J57,"")),"")</x:f>
        <x:v>2.79</x:v>
      </x:c>
    </x:row>
    <x:row r="58" ht="66" customHeight="1">
      <x:c r="A58" s="15" t="str">
        <x:v>H14</x:v>
      </x:c>
      <x:c r="B58" s="15" t="str">
        <x:v>Rigid output pulley mounting screws
2802-0004-0016; M4x0.7 button head,16mm</x:v>
      </x:c>
      <x:c r="C58" s="15" t="str">
        <x:v>BUY FIT CHECK</x:v>
      </x:c>
      <x:c r="D58" s="24" t="n">
        <x:v>8</x:v>
      </x:c>
      <x:c r="E58" s="24" t="n">
        <x:v>4</x:v>
      </x:c>
      <x:c r="F58" s="24"/>
      <x:c r="G58" s="24" t="n">
        <x:v>0</x:v>
      </x:c>
      <x:c r="H58" s="24" t="n">
        <x:f>IF(E58=0,0,MAX(E58-F58-G58,0))</x:f>
        <x:v>4</x:v>
      </x:c>
      <x:c r="I58" s="24" t="n">
        <x:v>25</x:v>
      </x:c>
      <x:c r="J58" s="25" t="n">
        <x:v>3.79</x:v>
      </x:c>
      <x:c r="K58" s="17" t="n">
        <x:f>IF(H58=0,0,IF(ISNUMBER(J58),ROUNDUP(H58/I58,0)*J58,""))</x:f>
        <x:v>3.79</x:v>
      </x:c>
      <x:c r="L58" s="22" t="str">
        <x:v>https://www.servocity.com/2802-series-zinc-plated-steel-button-head-screw-m4-x-0-7mm-16mm-length-25-pack/</x:v>
      </x:c>
      <x:c r="M58" s="23" t="str">
        <x:v>2026-10-05</x:v>
      </x:c>
      <x:c r="N58" s="15" t="str">
        <x:v>Four per drive. Replaces M4x8 clutch screws. D8/depth4.7 counterbores; screw seats |Y|75.05; nominal6.2mm metal thread engagement. Bench-assemble before insertion into stationary bearings.</x:v>
      </x:c>
      <x:c r="O58" s="15" t="str">
        <x:v>Drivetrain</x:v>
      </x:c>
      <x:c r="P58" s="16" t="n">
        <x:f>IF(ISNUMBER(D58),MAX(D58-F58-G58,0),"")</x:f>
        <x:v>8</x:v>
      </x:c>
      <x:c r="Q58" s="17" t="n">
        <x:f>IF(ISNUMBER(P58),IF(P58=0,0,IF(ISNUMBER(J58),ROUNDUP(P58/I58,0)*J58,"")),"")</x:f>
        <x:v>3.79</x:v>
      </x:c>
    </x:row>
    <x:row r="59" ht="66" customHeight="1">
      <x:c r="A59" s="15" t="str">
        <x:v>H15</x:v>
      </x:c>
      <x:c r="B59" s="15" t="str">
        <x:v>Input pulley/coupler pinch screws
2800-0003-0010;M3x0.5 socket head,10 mm</x:v>
      </x:c>
      <x:c r="C59" s="15" t="str">
        <x:v>RETIRED INPUT CLAMP</x:v>
      </x:c>
      <x:c r="D59" s="24" t="n">
        <x:v>0</x:v>
      </x:c>
      <x:c r="E59" s="24" t="n">
        <x:v>0</x:v>
      </x:c>
      <x:c r="F59" s="24"/>
      <x:c r="G59" s="24" t="n">
        <x:v>0</x:v>
      </x:c>
      <x:c r="H59" s="24" t="n">
        <x:f>IF(E59=0,0,MAX(E59-F59-G59,0))</x:f>
        <x:v>0</x:v>
      </x:c>
      <x:c r="I59" s="24" t="n">
        <x:v>6</x:v>
      </x:c>
      <x:c r="J59" s="25" t="n">
        <x:v>3.19</x:v>
      </x:c>
      <x:c r="K59" s="17" t="n">
        <x:f>IF(H59=0,0,IF(ISNUMBER(J59),ROUNDUP(H59/I59,0)*J59,""))</x:f>
        <x:v>0</x:v>
      </x:c>
      <x:c r="L59" s="22" t="str">
        <x:v>https://www.servocity.com/zinc-plated-steel-socket-head-screw-m3-x-0-5mm-10mm-length-6-pack/</x:v>
      </x:c>
      <x:c r="M59" s="23" t="str">
        <x:v>2026-10-06</x:v>
      </x:c>
      <x:c r="N59" s="15" t="str">
        <x:v>S20 positive REX shaft removes both input pinch screws and nuts. Do not order for the active drivetrain.</x:v>
      </x:c>
      <x:c r="O59" s="15" t="str">
        <x:v>Drivetrain</x:v>
      </x:c>
      <x:c r="P59" s="16" t="n">
        <x:f>IF(ISNUMBER(D59),MAX(D59-F59-G59,0),"")</x:f>
        <x:v>0</x:v>
      </x:c>
      <x:c r="Q59" s="17" t="n">
        <x:f>IF(ISNUMBER(P59),IF(P59=0,0,IF(ISNUMBER(J59),ROUNDUP(P59/I59,0)*J59,"")),"")</x:f>
        <x:v>0</x:v>
      </x:c>
    </x:row>
    <x:row r="60" ht="66" customHeight="1">
      <x:c r="A60" s="15" t="str">
        <x:v>H16</x:v>
      </x:c>
      <x:c r="B60" s="15" t="str">
        <x:v>Clutch adjuster screws
M3x0.5 socket head,35 mm;25 in kit</x:v>
      </x:c>
      <x:c r="C60" s="15" t="str">
        <x:v>RETIRED CLUTCH</x:v>
      </x:c>
      <x:c r="D60" s="24" t="n">
        <x:v>0</x:v>
      </x:c>
      <x:c r="E60" s="24" t="n">
        <x:v>0</x:v>
      </x:c>
      <x:c r="F60" s="24"/>
      <x:c r="G60" s="24" t="n">
        <x:v>0</x:v>
      </x:c>
      <x:c r="H60" s="24" t="n">
        <x:f>IF(E60=0,0,MAX(E60-F60-G60,0))</x:f>
        <x:v>0</x:v>
      </x:c>
      <x:c r="I60" s="24" t="n">
        <x:v>1</x:v>
      </x:c>
      <x:c r="J60" s="25"/>
      <x:c r="K60" s="17" t="n">
        <x:f>IF(H60=0,0,IF(ISNUMBER(J60),ROUNDUP(H60/I60,0)*J60,""))</x:f>
        <x:v>0</x:v>
      </x:c>
      <x:c r="L60" s="22" t="str">
        <x:v>https://www.amazon.com/dp/B0GV4G5DNP</x:v>
      </x:c>
      <x:c r="M60" s="23" t="str">
        <x:v>2026-10-03</x:v>
      </x:c>
      <x:c r="N60" s="15" t="str">
        <x:v>Retired by approved rigid belt drive on 2026-10-05. No current print or purchase requirement.</x:v>
      </x:c>
      <x:c r="O60" s="15" t="str">
        <x:v>Drivetrain</x:v>
      </x:c>
      <x:c r="P60" s="16" t="n">
        <x:f>IF(ISNUMBER(D60),MAX(D60-F60-G60,0),"")</x:f>
        <x:v>0</x:v>
      </x:c>
      <x:c r="Q60" s="17" t="n">
        <x:f>IF(ISNUMBER(P60),IF(P60=0,0,IF(ISNUMBER(J60),ROUNDUP(P60/I60,0)*J60,"")),"")</x:f>
        <x:v>0</x:v>
      </x:c>
    </x:row>
    <x:row r="61" ht="66" customHeight="1">
      <x:c r="A61" s="15" t="str">
        <x:v>H17</x:v>
      </x:c>
      <x:c r="B61" s="15" t="str">
        <x:v>Servo bridge through screws
632296; M3x0.5 pan head16mm, Phillips #1; 6-pack</x:v>
      </x:c>
      <x:c r="C61" s="15" t="str">
        <x:v>BUY FIT CHECK</x:v>
      </x:c>
      <x:c r="D61" s="24" t="n">
        <x:v>4</x:v>
      </x:c>
      <x:c r="E61" s="24" t="n">
        <x:v>2</x:v>
      </x:c>
      <x:c r="F61" s="24"/>
      <x:c r="G61" s="24" t="n">
        <x:v>0</x:v>
      </x:c>
      <x:c r="H61" s="24" t="n">
        <x:f>IF(E61=0,0,MAX(E61-F61-G61,0))</x:f>
        <x:v>2</x:v>
      </x:c>
      <x:c r="I61" s="24" t="n">
        <x:v>6</x:v>
      </x:c>
      <x:c r="J61" s="25" t="n">
        <x:v>1.99</x:v>
      </x:c>
      <x:c r="K61" s="17" t="n">
        <x:f>IF(H61=0,0,IF(ISNUMBER(J61),ROUNDUP(H61/I61,0)*J61,""))</x:f>
        <x:v>1.99</x:v>
      </x:c>
      <x:c r="L61" s="22" t="str">
        <x:v>https://www.servocity.com/3mm-x-16mm-zinc-plated-metric-pan-head-phillips-machine-screws/</x:v>
      </x:c>
      <x:c r="M61" s="23" t="str">
        <x:v>2026-10-06</x:v>
      </x:c>
      <x:c r="N61" s="15" t="str">
        <x:v>Two per drive. Through-hole and side-loaded AF6 captured nuts at Z128.7..131.5. Bolt seat143.25, tip127.25; full nominal nut engagement. Unrecessed head D6 x2.5 clearance envelope; check received head and driver.</x:v>
      </x:c>
      <x:c r="O61" s="15" t="str">
        <x:v>Drivetrain</x:v>
      </x:c>
      <x:c r="P61" s="16" t="n">
        <x:f>IF(ISNUMBER(D61),MAX(D61-F61-G61,0),"")</x:f>
        <x:v>4</x:v>
      </x:c>
      <x:c r="Q61" s="17" t="n">
        <x:f>IF(ISNUMBER(P61),IF(P61=0,0,IF(ISNUMBER(J61),ROUNDUP(P61/I61,0)*J61,"")),"")</x:f>
        <x:v>1.99</x:v>
      </x:c>
    </x:row>
    <x:row r="62" ht="66" customHeight="1">
      <x:c r="A62" s="15" t="str">
        <x:v>H18</x:v>
      </x:c>
      <x:c r="B62" s="15" t="str">
        <x:v>Clutch captive locking nuts
M3x0.5 nyloc; pocket fit to verify</x:v>
      </x:c>
      <x:c r="C62" s="15" t="str">
        <x:v>RETIRED CLUTCH</x:v>
      </x:c>
      <x:c r="D62" s="24" t="n">
        <x:v>0</x:v>
      </x:c>
      <x:c r="E62" s="24" t="n">
        <x:v>0</x:v>
      </x:c>
      <x:c r="F62" s="24"/>
      <x:c r="G62" s="24" t="n">
        <x:v>0</x:v>
      </x:c>
      <x:c r="H62" s="24" t="n">
        <x:f>IF(E62=0,0,MAX(E62-F62-G62,0))</x:f>
        <x:v>0</x:v>
      </x:c>
      <x:c r="I62" s="24" t="n">
        <x:v>1</x:v>
      </x:c>
      <x:c r="J62" s="25"/>
      <x:c r="K62" s="17" t="n">
        <x:f>IF(H62=0,0,IF(ISNUMBER(J62),ROUNDUP(H62/I62,0)*J62,""))</x:f>
        <x:v>0</x:v>
      </x:c>
      <x:c r="L62" s="22" t="str"/>
      <x:c r="M62" s="23" t="str">
        <x:v>2026-10-03</x:v>
      </x:c>
      <x:c r="N62" s="15" t="str">
        <x:v>Retired by approved rigid belt drive on 2026-10-05. No current print or purchase requirement.</x:v>
      </x:c>
      <x:c r="O62" s="15" t="str">
        <x:v>Drivetrain</x:v>
      </x:c>
      <x:c r="P62" s="16" t="n">
        <x:f>IF(ISNUMBER(D62),MAX(D62-F62-G62,0),"")</x:f>
        <x:v>0</x:v>
      </x:c>
      <x:c r="Q62" s="17" t="n">
        <x:f>IF(ISNUMBER(P62),IF(P62=0,0,IF(ISNUMBER(J62),ROUNDUP(P62/I62,0)*J62,"")),"")</x:f>
        <x:v>0</x:v>
      </x:c>
    </x:row>
    <x:row r="63" ht="66" customHeight="1">
      <x:c r="A63" s="15" t="str">
        <x:v>H19</x:v>
      </x:c>
      <x:c r="B63" s="15" t="str">
        <x:v>Carrier metal washers
DIN125 M4;9 OD x4.3 ID x0.8 thick</x:v>
      </x:c>
      <x:c r="C63" s="15" t="str">
        <x:v>HOLD SOURCE</x:v>
      </x:c>
      <x:c r="D63" s="24" t="n">
        <x:v>6</x:v>
      </x:c>
      <x:c r="E63" s="24" t="n">
        <x:v>3</x:v>
      </x:c>
      <x:c r="F63" s="24"/>
      <x:c r="G63" s="24" t="n">
        <x:v>0</x:v>
      </x:c>
      <x:c r="H63" s="24" t="n">
        <x:f>IF(E63=0,0,MAX(E63-F63-G63,0))</x:f>
        <x:v>3</x:v>
      </x:c>
      <x:c r="I63" s="24" t="n">
        <x:v>1</x:v>
      </x:c>
      <x:c r="J63" s="25"/>
      <x:c r="K63" s="17" t="str">
        <x:f>IF(H63=0,0,IF(ISNUMBER(J63),ROUNDUP(H63/I63,0)*J63,""))</x:f>
      </x:c>
      <x:c r="L63" s="22" t="str"/>
      <x:c r="M63" s="23" t="str">
        <x:v>2026-10-03</x:v>
      </x:c>
      <x:c r="N63" s="15" t="str">
        <x:v>Amazon preferred; exact listing pending. ServoCity4x8 washer differs from modeled9x4.3x0.8; no silent replacement.</x:v>
      </x:c>
      <x:c r="O63" s="15" t="str">
        <x:v>Drivetrain</x:v>
      </x:c>
      <x:c r="P63" s="16" t="n">
        <x:f>IF(ISNUMBER(D63),MAX(D63-F63-G63,0),"")</x:f>
        <x:v>6</x:v>
      </x:c>
      <x:c r="Q63" s="17" t="str">
        <x:f>IF(ISNUMBER(P63),IF(P63=0,0,IF(ISNUMBER(J63),ROUNDUP(P63/I63,0)*J63,"")),"")</x:f>
      </x:c>
    </x:row>
    <x:row r="64" ht="66" customHeight="1">
      <x:c r="A64" s="15" t="str">
        <x:v>H20</x:v>
      </x:c>
      <x:c r="B64" s="15" t="str">
        <x:v>Clutch spring guide tubes
Metal5 OD x3.2 ID x16 long</x:v>
      </x:c>
      <x:c r="C64" s="15" t="str">
        <x:v>RETIRED CLUTCH</x:v>
      </x:c>
      <x:c r="D64" s="24" t="n">
        <x:v>0</x:v>
      </x:c>
      <x:c r="E64" s="24" t="n">
        <x:v>0</x:v>
      </x:c>
      <x:c r="F64" s="24"/>
      <x:c r="G64" s="24" t="n">
        <x:v>0</x:v>
      </x:c>
      <x:c r="H64" s="24" t="n">
        <x:f>IF(E64=0,0,MAX(E64-F64-G64,0))</x:f>
        <x:v>0</x:v>
      </x:c>
      <x:c r="I64" s="24" t="n">
        <x:v>1</x:v>
      </x:c>
      <x:c r="J64" s="25"/>
      <x:c r="K64" s="17" t="n">
        <x:f>IF(H64=0,0,IF(ISNUMBER(J64),ROUNDUP(H64/I64,0)*J64,""))</x:f>
        <x:v>0</x:v>
      </x:c>
      <x:c r="L64" s="22" t="str"/>
      <x:c r="M64" s="23" t="str">
        <x:v>2026-10-03</x:v>
      </x:c>
      <x:c r="N64" s="15" t="str">
        <x:v>Retired by approved rigid belt drive on 2026-10-05. No current print or purchase requirement.</x:v>
      </x:c>
      <x:c r="O64" s="15" t="str">
        <x:v>Drivetrain</x:v>
      </x:c>
      <x:c r="P64" s="16" t="n">
        <x:f>IF(ISNUMBER(D64),MAX(D64-F64-G64,0),"")</x:f>
        <x:v>0</x:v>
      </x:c>
      <x:c r="Q64" s="17" t="n">
        <x:f>IF(ISNUMBER(P64),IF(P64=0,0,IF(ISNUMBER(J64),ROUNDUP(P64/I64,0)*J64,"")),"")</x:f>
        <x:v>0</x:v>
      </x:c>
    </x:row>
    <x:row r="65" ht="66" customHeight="1">
      <x:c r="A65" s="15" t="str">
        <x:v>H21</x:v>
      </x:c>
      <x:c r="B65" s="15" t="str">
        <x:v>Shared long M3 hardware kit
Kernmax600pcs;B0GV4G5DNP</x:v>
      </x:c>
      <x:c r="C65" s="15" t="str">
        <x:v>BUY FIT CHECK</x:v>
      </x:c>
      <x:c r="D65" s="24" t="n">
        <x:v>1</x:v>
      </x:c>
      <x:c r="E65" s="24" t="n">
        <x:v>1</x:v>
      </x:c>
      <x:c r="F65" s="24"/>
      <x:c r="G65" s="24" t="n">
        <x:v>0</x:v>
      </x:c>
      <x:c r="H65" s="24" t="n">
        <x:f>IF(E65=0,0,MAX(E65-F65-G65,0))</x:f>
        <x:v>1</x:v>
      </x:c>
      <x:c r="I65" s="24" t="n">
        <x:v>1</x:v>
      </x:c>
      <x:c r="J65" s="25" t="n">
        <x:v>8.98</x:v>
      </x:c>
      <x:c r="K65" s="17" t="n">
        <x:f>IF(H65=0,0,IF(ISNUMBER(J65),ROUNDUP(H65/I65,0)*J65,""))</x:f>
        <x:v>8.98</x:v>
      </x:c>
      <x:c r="L65" s="22" t="str">
        <x:v>https://www.amazon.com/dp/B0GV4G5DNP</x:v>
      </x:c>
      <x:c r="M65" s="23" t="str">
        <x:v>2026-10-03</x:v>
      </x:c>
      <x:c r="N65" s="15" t="str">
        <x:v>One kit charged once for the plain M3 nuts H11; 22 per drive. Bridge uses separately sourced M3x16 pan screws H17. Long screws in this kit are spare; use existing compatible plain nuts if already owned and credit the quantity.</x:v>
      </x:c>
      <x:c r="O65" s="15" t="str">
        <x:v>Drivetrain</x:v>
      </x:c>
      <x:c r="P65" s="16" t="n">
        <x:f>IF(ISNUMBER(D65),MAX(D65-F65-G65,0),"")</x:f>
        <x:v>1</x:v>
      </x:c>
      <x:c r="Q65" s="17" t="n">
        <x:f>IF(ISNUMBER(P65),IF(P65=0,0,IF(ISNUMBER(J65),ROUNDUP(P65/I65,0)*J65,"")),"")</x:f>
        <x:v>8.98</x:v>
      </x:c>
    </x:row>
    <x:row r="66" ht="66" customHeight="1">
      <x:c r="A66" s="15" t="str">
        <x:v>H22</x:v>
      </x:c>
      <x:c r="B66" s="15" t="str">
        <x:v>Clutch spring metal washers
9 OD x3.2 ID x1 thick</x:v>
      </x:c>
      <x:c r="C66" s="15" t="str">
        <x:v>RETIRED CLUTCH</x:v>
      </x:c>
      <x:c r="D66" s="24" t="n">
        <x:v>0</x:v>
      </x:c>
      <x:c r="E66" s="24" t="n">
        <x:v>0</x:v>
      </x:c>
      <x:c r="F66" s="24"/>
      <x:c r="G66" s="24" t="n">
        <x:v>0</x:v>
      </x:c>
      <x:c r="H66" s="24" t="n">
        <x:f>IF(E66=0,0,MAX(E66-F66-G66,0))</x:f>
        <x:v>0</x:v>
      </x:c>
      <x:c r="I66" s="24" t="n">
        <x:v>1</x:v>
      </x:c>
      <x:c r="J66" s="25"/>
      <x:c r="K66" s="17" t="n">
        <x:f>IF(H66=0,0,IF(ISNUMBER(J66),ROUNDUP(H66/I66,0)*J66,""))</x:f>
        <x:v>0</x:v>
      </x:c>
      <x:c r="L66" s="22" t="str"/>
      <x:c r="M66" s="23" t="str">
        <x:v>2026-10-03</x:v>
      </x:c>
      <x:c r="N66" s="15" t="str">
        <x:v>Retired by approved rigid belt drive on 2026-10-05. No current print or purchase requirement.</x:v>
      </x:c>
      <x:c r="O66" s="15" t="str">
        <x:v>Drivetrain</x:v>
      </x:c>
      <x:c r="P66" s="16" t="n">
        <x:f>IF(ISNUMBER(D66),MAX(D66-F66-G66,0),"")</x:f>
        <x:v>0</x:v>
      </x:c>
      <x:c r="Q66" s="17" t="n">
        <x:f>IF(ISNUMBER(P66),IF(P66=0,0,IF(ISNUMBER(J66),ROUNDUP(P66/I66,0)*J66,"")),"")</x:f>
        <x:v>0</x:v>
      </x:c>
    </x:row>
    <x:row r="67" ht="66" customHeight="1">
      <x:c r="A67" s="15" t="str">
        <x:v>M21</x:v>
      </x:c>
      <x:c r="B67" s="15" t="str">
        <x:v>Trial friction lining set
0.5 mm;front44/27.4 annulus,rear2 halves44/33.4</x:v>
      </x:c>
      <x:c r="C67" s="15" t="str">
        <x:v>RETIRED CLUTCH</x:v>
      </x:c>
      <x:c r="D67" s="24" t="n">
        <x:v>0</x:v>
      </x:c>
      <x:c r="E67" s="24" t="n">
        <x:v>0</x:v>
      </x:c>
      <x:c r="F67" s="24"/>
      <x:c r="G67" s="24" t="n">
        <x:v>0</x:v>
      </x:c>
      <x:c r="H67" s="24" t="n">
        <x:f>IF(E67=0,0,MAX(E67-F67-G67,0))</x:f>
        <x:v>0</x:v>
      </x:c>
      <x:c r="I67" s="24" t="n">
        <x:v>1</x:v>
      </x:c>
      <x:c r="J67" s="25"/>
      <x:c r="K67" s="17" t="n">
        <x:f>IF(H67=0,0,IF(ISNUMBER(J67),ROUNDUP(H67/I67,0)*J67,""))</x:f>
        <x:v>0</x:v>
      </x:c>
      <x:c r="L67" s="22" t="str"/>
      <x:c r="M67" s="23" t="str">
        <x:v>2026-10-03</x:v>
      </x:c>
      <x:c r="N67" s="15" t="str">
        <x:v>Retired by approved rigid belt drive on 2026-10-05. No current print or purchase requirement.</x:v>
      </x:c>
      <x:c r="O67" s="15" t="str">
        <x:v>Drivetrain</x:v>
      </x:c>
      <x:c r="P67" s="16" t="n">
        <x:f>IF(ISNUMBER(D67),MAX(D67-F67-G67,0),"")</x:f>
        <x:v>0</x:v>
      </x:c>
      <x:c r="Q67" s="17" t="n">
        <x:f>IF(ISNUMBER(P67),IF(P67=0,0,IF(ISNUMBER(J67),ROUNDUP(P67/I67,0)*J67,"")),"")</x:f>
        <x:v>0</x:v>
      </x:c>
    </x:row>
    <x:row r="68" ht="66" customHeight="1">
      <x:c r="A68" s="15" t="str">
        <x:v>H23</x:v>
      </x:c>
      <x:c r="B68" s="15" t="str">
        <x:v>Servo center retention screw
M3 low-profile button head, D5.7 x1.65mm; length verified on servo</x:v>
      </x:c>
      <x:c r="C68" s="15" t="str">
        <x:v>RECEIVING FIT</x:v>
      </x:c>
      <x:c r="D68" s="24" t="n">
        <x:v>2</x:v>
      </x:c>
      <x:c r="E68" s="24" t="n">
        <x:v>1</x:v>
      </x:c>
      <x:c r="F68" s="24"/>
      <x:c r="G68" s="24" t="n">
        <x:v>0</x:v>
      </x:c>
      <x:c r="H68" s="24" t="n">
        <x:f>IF(E68=0,0,MAX(E68-F68-G68,0))</x:f>
        <x:v>1</x:v>
      </x:c>
      <x:c r="I68" s="24" t="n">
        <x:v>1</x:v>
      </x:c>
      <x:c r="J68" s="25"/>
      <x:c r="K68" s="17" t="str">
        <x:f>IF(H68=0,0,IF(ISNUMBER(J68),ROUNDUP(H68/I68,0)*J68,""))</x:f>
      </x:c>
      <x:c r="L68" s="22" t="str">
        <x:v>https://www.injora.com/products/injora-injs035-360-35kg-waterproof-digital-servo-360-steering-winch-wheel-for-rc</x:v>
      </x:c>
      <x:c r="M68" s="23" t="str">
        <x:v>2026-10-06</x:v>
      </x:c>
      <x:c r="N68" s="15" t="str">
        <x:v>Use a compatible low-profile center screw from servo/horn hardware if it seats without bottoming. Head seatY43.6; D5.7 x1.65 head ends45.25; nominal shaft begins46.5 (1.25mm gap, conservative vendor STEP gap0.883mm). Length/thread depth remain a receiving check. Install before input shaft.</x:v>
      </x:c>
      <x:c r="O68" s="15" t="str">
        <x:v>Drivetrain</x:v>
      </x:c>
      <x:c r="P68" s="16" t="n">
        <x:f>IF(ISNUMBER(D68),MAX(D68-F68-G68,0),"")</x:f>
        <x:v>2</x:v>
      </x:c>
      <x:c r="Q68" s="17" t="str">
        <x:f>IF(ISNUMBER(P68),IF(P68=0,0,IF(ISNUMBER(J68),ROUNDUP(P68/I68,0)*J68,"")),"")</x:f>
      </x:c>
    </x:row>
    <x:row r="69" ht="66" customHeight="1">
      <x:c r="A69" s="15" t="str">
        <x:v>H24</x:v>
      </x:c>
      <x:c r="B69" s="15" t="str">
        <x:v>Horn-to-adapter mounting screws
2802-0004-0006; M4x0.7 button head,6mm</x:v>
      </x:c>
      <x:c r="C69" s="15" t="str">
        <x:v>BUY FIT</x:v>
      </x:c>
      <x:c r="D69" s="24" t="n">
        <x:v>8</x:v>
      </x:c>
      <x:c r="E69" s="24" t="n">
        <x:v>4</x:v>
      </x:c>
      <x:c r="F69" s="24" t="n">
        <x:v>0</x:v>
      </x:c>
      <x:c r="G69" s="24" t="n">
        <x:v>0</x:v>
      </x:c>
      <x:c r="H69" s="24" t="n">
        <x:f>IF(E69=0,0,MAX(E69-F69-G69,0))</x:f>
        <x:v>4</x:v>
      </x:c>
      <x:c r="I69" s="24" t="n">
        <x:v>25</x:v>
      </x:c>
      <x:c r="J69" s="25" t="n">
        <x:v>2.99</x:v>
      </x:c>
      <x:c r="K69" s="17" t="n">
        <x:f>IF(H69=0,0,IF(ISNUMBER(J69),ROUNDUP(H69/I69,0)*J69,""))</x:f>
        <x:v>2.99</x:v>
      </x:c>
      <x:c r="L69" s="22" t="str">
        <x:v>https://www.servocity.com/2802-series-zinc-plated-steel-button-head-screw-m4-x-0-7mm-6mm-length-25-pack/</x:v>
      </x:c>
      <x:c r="M69" s="23" t="str">
        <x:v>2026-10-06</x:v>
      </x:c>
      <x:c r="N69" s="15" t="str">
        <x:v>Four per drive. M4x6 ISO7380-1 heads atY45.1..47.3; nominal metal engagement2.5mm into the purchased horn. Driver access checked on bench. Positive REX replaces pinch, with factory Eclip insertion through adapter side window.</x:v>
      </x:c>
      <x:c r="O69" s="15" t="str">
        <x:v>Drivetrain</x:v>
      </x:c>
      <x:c r="P69" s="16" t="n">
        <x:f>IF(ISNUMBER(D69),MAX(D69-F69-G69,0),"")</x:f>
        <x:v>8</x:v>
      </x:c>
      <x:c r="Q69" s="17" t="n">
        <x:f>IF(ISNUMBER(P69),IF(P69=0,0,IF(ISNUMBER(J69),ROUNDUP(P69/I69,0)*J69,"")),"")</x:f>
        <x:v>2.99</x:v>
      </x:c>
    </x:row>
    <x:row r="70" ht="66" customHeight="1">
      <x:c r="A70" s="15" t="str">
        <x:v>P07</x:v>
      </x:c>
      <x:c r="B70" s="15" t="str">
        <x:v>Final flexible wheel tread set
TPU;246 mm overall diameter provisional</x:v>
      </x:c>
      <x:c r="C70" s="15" t="str">
        <x:v>HOLD TREAD</x:v>
      </x:c>
      <x:c r="D70" s="24" t="n">
        <x:v>2</x:v>
      </x:c>
      <x:c r="E70" s="24" t="n">
        <x:v>0</x:v>
      </x:c>
      <x:c r="F70" s="24" t="n">
        <x:v>0</x:v>
      </x:c>
      <x:c r="G70" s="24" t="n">
        <x:v>0</x:v>
      </x:c>
      <x:c r="H70" s="24" t="n">
        <x:f>IF(E70=0,0,MAX(E70-F70-G70,0))</x:f>
        <x:v>0</x:v>
      </x:c>
      <x:c r="I70" s="24" t="n">
        <x:v>1</x:v>
      </x:c>
      <x:c r="J70" s="25"/>
      <x:c r="K70" s="17" t="n">
        <x:f>IF(H70=0,0,IF(ISNUMBER(J70),ROUNDUP(H70/I70,0)*J70,""))</x:f>
        <x:v>0</x:v>
      </x:c>
      <x:c r="L70" s="22" t="str">
        <x:v>Local native CAD: Roller-300.nbcad</x:v>
      </x:c>
      <x:c r="M70" s="23" t="str">
        <x:v>2026-10-04</x:v>
      </x:c>
      <x:c r="N70" s="15" t="str">
        <x:v>Full-vehicle tread/material/bonding and bead retention remain unqualified. Omitted from the rigid-wheel unpowered fit article; not zero cost.</x:v>
      </x:c>
      <x:c r="O70" s="15" t="str">
        <x:v>Printed</x:v>
      </x:c>
      <x:c r="P70" s="16" t="n">
        <x:f>IF(ISNUMBER(D70),MAX(D70-F70-G70,0),"")</x:f>
        <x:v>2</x:v>
      </x:c>
      <x:c r="Q70" s="17" t="str">
        <x:f>IF(ISNUMBER(P70),IF(P70=0,0,IF(ISNUMBER(J70),ROUNDUP(P70/I70,0)*J70,"")),"")</x:f>
      </x:c>
    </x:row>
    <x:row r="71" ht="66" customHeight="1">
      <x:c r="A71" s="15" t="str">
        <x:v>H25</x:v>
      </x:c>
      <x:c r="B71" s="15" t="str">
        <x:v>Input REX end-retention screw
2802-0004-0008; M4x0.7 button head8mm;25-pack</x:v>
      </x:c>
      <x:c r="C71" s="15" t="str">
        <x:v>BUY FIT CHECK</x:v>
      </x:c>
      <x:c r="D71" s="24" t="n">
        <x:v>2</x:v>
      </x:c>
      <x:c r="E71" s="24" t="n">
        <x:v>1</x:v>
      </x:c>
      <x:c r="F71" s="24"/>
      <x:c r="G71" s="24" t="n">
        <x:v>0</x:v>
      </x:c>
      <x:c r="H71" s="24" t="n">
        <x:f>IF(E71=0,0,MAX(E71-F71-G71,0))</x:f>
        <x:v>1</x:v>
      </x:c>
      <x:c r="I71" s="24" t="n">
        <x:v>25</x:v>
      </x:c>
      <x:c r="J71" s="25" t="n">
        <x:v>3.19</x:v>
      </x:c>
      <x:c r="K71" s="17" t="n">
        <x:f>IF(H71=0,0,IF(ISNUMBER(J71),ROUNDUP(H71/I71,0)*J71,""))</x:f>
        <x:v>3.19</x:v>
      </x:c>
      <x:c r="L71" s="22" t="str">
        <x:v>https://www.servocity.com/2802-series-zinc-plated-steel-button-head-screw-m4-x-0-7mm-8mm-length-25-pack/</x:v>
      </x:c>
      <x:c r="M71" s="23" t="str">
        <x:v>2026-10-06</x:v>
      </x:c>
      <x:c r="N71" s="15" t="str">
        <x:v>One per drive; washer thickness1.5 leaves nominal6.5mm M4 engagement. Actual manufacturer STEP. Tighten against shaft end and metal stack, checking free rotation/endplay. Thread phase in CAD is a reference, not a measured thread fit.</x:v>
      </x:c>
      <x:c r="O71" s="15" t="str">
        <x:v>Drivetrain</x:v>
      </x:c>
      <x:c r="P71" s="16" t="n">
        <x:f>IF(ISNUMBER(D71),MAX(D71-F71-G71,0),"")</x:f>
        <x:v>2</x:v>
      </x:c>
      <x:c r="Q71" s="17" t="n">
        <x:f>IF(ISNUMBER(P71),IF(P71=0,0,IF(ISNUMBER(J71),ROUNDUP(P71/I71,0)*J71,"")),"")</x:f>
        <x:v>3.19</x:v>
      </x:c>
    </x:row>
    <x:row r="72" ht="66" customHeight="1">
      <x:c r="A72" s="15" t="str">
        <x:v>H26</x:v>
      </x:c>
      <x:c r="B72" s="15" t="str">
        <x:v>Input end-retention steel washer
2801-0004-0011; 4ID x11OD x1.5;25-pack</x:v>
      </x:c>
      <x:c r="C72" s="15" t="str">
        <x:v>BUY FIT CHECK</x:v>
      </x:c>
      <x:c r="D72" s="24" t="n">
        <x:v>2</x:v>
      </x:c>
      <x:c r="E72" s="24" t="n">
        <x:v>1</x:v>
      </x:c>
      <x:c r="F72" s="24"/>
      <x:c r="G72" s="24" t="n">
        <x:v>0</x:v>
      </x:c>
      <x:c r="H72" s="24" t="n">
        <x:f>IF(E72=0,0,MAX(E72-F72-G72,0))</x:f>
        <x:v>1</x:v>
      </x:c>
      <x:c r="I72" s="24" t="n">
        <x:v>25</x:v>
      </x:c>
      <x:c r="J72" s="25" t="n">
        <x:v>2.29</x:v>
      </x:c>
      <x:c r="K72" s="17" t="n">
        <x:f>IF(H72=0,0,IF(ISNUMBER(J72),ROUNDUP(H72/I72,0)*J72,""))</x:f>
        <x:v>2.29</x:v>
      </x:c>
      <x:c r="L72" s="22" t="str">
        <x:v>https://www.servocity.com/2801-series-zinc-plated-steel-washer-4mm-id-x-11mm-od-25-pack/</x:v>
      </x:c>
      <x:c r="M72" s="23" t="str">
        <x:v>2026-10-06</x:v>
      </x:c>
      <x:c r="N72" s="15" t="str">
        <x:v>One per drive Y94.5..96.0; actual manufacturer STEP, OD10.9. End screw and washer retain rear spacer/shim on the bearing inner race; front Eclip is captured in the printed adapter.</x:v>
      </x:c>
      <x:c r="O72" s="15" t="str">
        <x:v>Drivetrain</x:v>
      </x:c>
      <x:c r="P72" s="16" t="n">
        <x:f>IF(ISNUMBER(D72),MAX(D72-F72-G72,0),"")</x:f>
        <x:v>2</x:v>
      </x:c>
      <x:c r="Q72" s="17" t="n">
        <x:f>IF(ISNUMBER(P72),IF(P72=0,0,IF(ISNUMBER(J72),ROUNDUP(P72/I72,0)*J72,"")),"")</x:f>
        <x:v>2.29</x:v>
      </x:c>
    </x:row>
    <x:row r="73" ht="120" customHeight="1">
      <x:c r="A73" s="15" t="str">
        <x:v>H27</x:v>
      </x:c>
      <x:c r="B73" s="15" t="str">
        <x:v>Servo-ear mounting screws
M3x0.5 socket head,10mm;2800-0003-0010 historical catalog reference</x:v>
      </x:c>
      <x:c r="C73" s="15" t="str">
        <x:v>HOLD SOURCE</x:v>
      </x:c>
      <x:c r="D73" s="24" t="n">
        <x:v>8</x:v>
      </x:c>
      <x:c r="E73" s="24" t="n">
        <x:v>4</x:v>
      </x:c>
      <x:c r="F73" s="24"/>
      <x:c r="G73" s="24" t="n">
        <x:v>0</x:v>
      </x:c>
      <x:c r="H73" s="24" t="n">
        <x:f>IF(E73=0,0,MAX(E73-F73-G73,0))</x:f>
        <x:v>4</x:v>
      </x:c>
      <x:c r="I73" s="24" t="n">
        <x:v>6</x:v>
      </x:c>
      <x:c r="J73" s="25"/>
      <x:c r="K73" s="17" t="str">
        <x:f>IF(H73=0,0,IF(ISNUMBER(J73),ROUNDUP(H73/I73,0)*J73,""))</x:f>
      </x:c>
      <x:c r="L73" s="22" t="str">
        <x:v>https://www.servocity.com/zinc-plated-steel-socket-head-screw-m3-x-0-5mm-10mm-length-6-pack/</x:v>
      </x:c>
      <x:c r="M73" s="23" t="str">
        <x:v>2026-10-06</x:v>
      </x:c>
      <x:c r="N73" s="15" t="str">
        <x:v>Four M3x10 per drive, matching current S20 ear stack and assembly plan. Reuses an existing catalog reference formerly attached to retired pinch screws. Price, pack and current availability have not been freshly verified. Check received socket-head envelope, actual thread engagement and servo grommet/eyelet fit. H08 M3x12 screws are for bearing retainers.</x:v>
      </x:c>
      <x:c r="O73" s="15" t="str">
        <x:v>Drivetrain</x:v>
      </x:c>
      <x:c r="P73" s="16" t="n">
        <x:f>IF(ISNUMBER(D73),MAX(D73-F73-G73,0),"")</x:f>
        <x:v>8</x:v>
      </x:c>
      <x:c r="Q73" s="17" t="str">
        <x:f>IF(ISNUMBER(P73),IF(P73=0,0,IF(ISNUMBER(J73),ROUNDUP(P73/I73,0)*J73,"")),"")</x:f>
      </x:c>
    </x:row>
    <x:row r="74">
      <x:c r="A74" s="1"/>
      <x:c r="B74" s="1"/>
      <x:c r="C74" s="1"/>
      <x:c r="D74" s="1"/>
      <x:c r="E74" s="1"/>
      <x:c r="F74" s="1"/>
      <x:c r="G74" s="1"/>
      <x:c r="H74" s="1"/>
      <x:c r="I74" s="1"/>
      <x:c r="J74" s="1"/>
      <x:c r="K74" s="1"/>
      <x:c r="L74" s="1"/>
      <x:c r="M74" s="1"/>
      <x:c r="N74" s="1"/>
      <x:c r="O74" s="1"/>
      <x:c r="P74" s="1"/>
      <x:c r="Q74" s="1"/>
    </x:row>
    <x:row r="75" ht="28" customHeight="1">
      <x:c r="A75" s="12" t="str">
        <x:v>PRINT MATERIAL ESTIMATE | ONE UNPOWERED DRIVE | CONSUMED MATERIAL, NOT SPOOL PURCHASE COST</x:v>
      </x:c>
      <x:c r="B75" s="12"/>
      <x:c r="C75" s="12"/>
      <x:c r="D75" s="12"/>
      <x:c r="E75" s="12"/>
      <x:c r="F75" s="12"/>
      <x:c r="G75" s="12"/>
      <x:c r="H75" s="12"/>
      <x:c r="I75" s="12"/>
      <x:c r="J75" s="12"/>
      <x:c r="K75" s="12"/>
      <x:c r="L75" s="12"/>
      <x:c r="M75" s="12"/>
      <x:c r="N75" s="12"/>
      <x:c r="O75" s="12"/>
      <x:c r="P75" s="12"/>
      <x:c r="Q75" s="12"/>
    </x:row>
    <x:row r="76" ht="27" customHeight="1">
      <x:c r="A76" s="1" t="str">
        <x:v>Reference ten-part fit plate incl. supports (kg)</x:v>
      </x:c>
      <x:c r="B76" s="1"/>
      <x:c r="C76" s="1"/>
      <x:c r="D76" s="1"/>
      <x:c r="E76" s="26" t="n">
        <x:v>0.29411868286132814</x:v>
      </x:c>
      <x:c r="F76" s="1" t="str">
        <x:v>Corrected complete one-drive plate reference. Remove already-printed fit pieces before arranging and reslicing the remaining parts.</x:v>
      </x:c>
      <x:c r="G76" s="1"/>
      <x:c r="H76" s="1"/>
      <x:c r="I76" s="1"/>
      <x:c r="J76" s="1"/>
      <x:c r="K76" s="1"/>
      <x:c r="L76" s="1"/>
      <x:c r="M76" s="1"/>
      <x:c r="N76" s="1"/>
      <x:c r="O76" s="1"/>
      <x:c r="P76" s="1"/>
      <x:c r="Q76" s="1"/>
    </x:row>
    <x:row r="77" ht="27" customHeight="1">
      <x:c r="A77" s="1" t="str">
        <x:v>Current native wheel slice incl. supports (kg)</x:v>
      </x:c>
      <x:c r="B77" s="1"/>
      <x:c r="C77" s="1"/>
      <x:c r="D77" s="1"/>
      <x:c r="E77" s="26" t="n">
        <x:v>0.33670901489257815</x:v>
      </x:c>
      <x:c r="F77" s="1" t="str">
        <x:v>Current native wheel exported by CAD, placed rigidly and sliced offline in Bambu Studio.</x:v>
      </x:c>
      <x:c r="G77" s="1"/>
      <x:c r="H77" s="1"/>
      <x:c r="I77" s="1"/>
      <x:c r="J77" s="1"/>
      <x:c r="K77" s="1"/>
      <x:c r="L77" s="1"/>
      <x:c r="M77" s="1"/>
      <x:c r="N77" s="1"/>
      <x:c r="O77" s="1"/>
      <x:c r="P77" s="1"/>
      <x:c r="Q77" s="1"/>
    </x:row>
    <x:row r="78" ht="27" customHeight="1">
      <x:c r="A78" s="1" t="str">
        <x:v>Filament USD/kg - editable assumption</x:v>
      </x:c>
      <x:c r="B78" s="1"/>
      <x:c r="C78" s="1"/>
      <x:c r="D78" s="1"/>
      <x:c r="E78" s="27" t="n">
        <x:v>25</x:v>
      </x:c>
      <x:c r="F78" s="1" t="str">
        <x:v>$25/kg is a budgeting assumption, not a supplier quote. Own filament is not credited here.</x:v>
      </x:c>
      <x:c r="G78" s="1"/>
      <x:c r="H78" s="1"/>
      <x:c r="I78" s="1"/>
      <x:c r="J78" s="1"/>
      <x:c r="K78" s="1"/>
      <x:c r="L78" s="1"/>
      <x:c r="M78" s="1"/>
      <x:c r="N78" s="1"/>
      <x:c r="O78" s="1"/>
      <x:c r="P78" s="1"/>
      <x:c r="Q78" s="1"/>
    </x:row>
    <x:row r="79" ht="27" customHeight="1">
      <x:c r="A79" s="1" t="str">
        <x:v>Estimated consumed material USD</x:v>
      </x:c>
      <x:c r="B79" s="1"/>
      <x:c r="C79" s="1"/>
      <x:c r="D79" s="1"/>
      <x:c r="E79" s="6" t="n">
        <x:f>SUM(E76:E77)*E78</x:f>
        <x:v>15.770692443847656</x:v>
      </x:c>
      <x:c r="F79" s="1" t="str">
        <x:v>Excludes tread, calibration waste, failed prints and electricity. Actual staged support mass depends on final plate layout.</x:v>
      </x:c>
      <x:c r="G79" s="1"/>
      <x:c r="H79" s="1"/>
      <x:c r="I79" s="1"/>
      <x:c r="J79" s="1"/>
      <x:c r="K79" s="1"/>
      <x:c r="L79" s="1"/>
      <x:c r="M79" s="1"/>
      <x:c r="N79" s="1"/>
      <x:c r="O79" s="1"/>
      <x:c r="P79" s="1"/>
      <x:c r="Q79" s="1"/>
    </x:row>
    <x:row r="80">
      <x:c r="A80" s="1"/>
      <x:c r="B80" s="1"/>
      <x:c r="C80" s="1"/>
      <x:c r="D80" s="1"/>
      <x:c r="E80" s="1"/>
      <x:c r="F80" s="1"/>
      <x:c r="G80" s="1"/>
      <x:c r="H80" s="1"/>
      <x:c r="I80" s="1"/>
      <x:c r="J80" s="1"/>
      <x:c r="K80" s="1"/>
      <x:c r="L80" s="1"/>
      <x:c r="M80" s="1"/>
      <x:c r="N80" s="1"/>
      <x:c r="O80" s="1"/>
      <x:c r="P80" s="1"/>
      <x:c r="Q80" s="1"/>
    </x:row>
    <x:row r="81" ht="25" customHeight="1">
      <x:c r="A81" s="1" t="str">
        <x:v>FULL ROBOT TOTAL REMAINS UNRESOLVED: partial two-drive subtotal is not a complete vehicle quote.</x:v>
      </x:c>
      <x:c r="B81" s="1"/>
      <x:c r="C81" s="1"/>
      <x:c r="D81" s="1"/>
      <x:c r="E81" s="1"/>
      <x:c r="F81" s="1"/>
      <x:c r="G81" s="1"/>
      <x:c r="H81" s="1"/>
      <x:c r="I81" s="1"/>
      <x:c r="J81" s="1"/>
      <x:c r="K81" s="1"/>
      <x:c r="L81" s="1"/>
      <x:c r="M81" s="1"/>
      <x:c r="N81" s="1"/>
      <x:c r="O81" s="1"/>
      <x:c r="P81" s="1"/>
      <x:c r="Q81" s="1"/>
    </x:row>
    <x:row r="82" ht="25" customHeight="1">
      <x:c r="A82" s="1" t="str">
        <x:v>Unresolved: carrier washers, wheel fasteners, servo-ear M3x10 source/price, center-screw length and final tread. Shaft retention uses stock parts.</x:v>
      </x:c>
      <x:c r="B82" s="1"/>
      <x:c r="C82" s="1"/>
      <x:c r="D82" s="1"/>
      <x:c r="E82" s="1"/>
      <x:c r="F82" s="1"/>
      <x:c r="G82" s="1"/>
      <x:c r="H82" s="1"/>
      <x:c r="I82" s="1"/>
      <x:c r="J82" s="1"/>
      <x:c r="K82" s="1"/>
      <x:c r="L82" s="1"/>
      <x:c r="M82" s="1"/>
      <x:c r="N82" s="1"/>
      <x:c r="O82" s="1"/>
      <x:c r="P82" s="1"/>
      <x:c r="Q82" s="1"/>
    </x:row>
    <x:row r="83" ht="25" customHeight="1">
      <x:c r="A83" s="1" t="str">
        <x:v>Thermal camera and four ToF modules owned; visible camera, wheel feedback, wiring, power protection and charging hardware remain deferred.</x:v>
      </x:c>
      <x:c r="B83" s="1"/>
      <x:c r="C83" s="1"/>
      <x:c r="D83" s="1"/>
      <x:c r="E83" s="1"/>
      <x:c r="F83" s="1"/>
      <x:c r="G83" s="1"/>
      <x:c r="H83" s="1"/>
      <x:c r="I83" s="1"/>
      <x:c r="J83" s="1"/>
      <x:c r="K83" s="1"/>
      <x:c r="L83" s="1"/>
      <x:c r="M83" s="1"/>
      <x:c r="N83" s="1"/>
      <x:c r="O83" s="1"/>
      <x:c r="P83" s="1"/>
      <x:c r="Q83" s="1"/>
    </x:row>
    <x:row r="84" ht="25" customHeight="1">
      <x:c r="A84" s="1" t="str">
        <x:v>Rigid belt drive has no mechanical torque limiter. Verify received horn seating, screw engagement and shaft retention before supervised powered tests.</x:v>
      </x:c>
      <x:c r="B84" s="1"/>
      <x:c r="C84" s="1"/>
      <x:c r="D84" s="1"/>
      <x:c r="E84" s="1"/>
      <x:c r="F84" s="1"/>
      <x:c r="G84" s="1"/>
      <x:c r="H84" s="1"/>
      <x:c r="I84" s="1"/>
      <x:c r="J84" s="1"/>
      <x:c r="K84" s="1"/>
      <x:c r="L84" s="1"/>
      <x:c r="M84" s="1"/>
      <x:c r="N84" s="1"/>
      <x:c r="O84" s="1"/>
      <x:c r="P84" s="1"/>
      <x:c r="Q84" s="1"/>
    </x:row>
    <x:row r="85">
      <x:c r="A85" s="1"/>
      <x:c r="B85" s="1"/>
      <x:c r="C85" s="1"/>
      <x:c r="D85" s="1"/>
      <x:c r="E85" s="1"/>
      <x:c r="F85" s="1"/>
      <x:c r="G85" s="1"/>
      <x:c r="H85" s="1"/>
      <x:c r="I85" s="1"/>
      <x:c r="J85" s="1"/>
      <x:c r="K85" s="1"/>
      <x:c r="L85" s="1"/>
      <x:c r="M85" s="1"/>
      <x:c r="N85" s="1"/>
      <x:c r="O85" s="1"/>
      <x:c r="P85" s="1"/>
      <x:c r="Q85" s="1"/>
    </x:row>
  </x:sheetData>
  <x:mergeCells>
    <x:mergeCell ref="A1:O1"/>
    <x:mergeCell ref="A2:O2"/>
    <x:mergeCell ref="A3:D3"/>
    <x:mergeCell ref="F3:O3"/>
    <x:mergeCell ref="A4:O4"/>
    <x:mergeCell ref="A5:O5"/>
    <x:mergeCell ref="A6:O6"/>
    <x:mergeCell ref="A7:O7"/>
    <x:mergeCell ref="A8:D8"/>
    <x:mergeCell ref="F8:Q8"/>
    <x:mergeCell ref="A75:Q75"/>
    <x:mergeCell ref="A76:D76"/>
    <x:mergeCell ref="A77:D77"/>
    <x:mergeCell ref="A78:D78"/>
    <x:mergeCell ref="A79:D79"/>
    <x:mergeCell ref="F76:Q76"/>
    <x:mergeCell ref="F77:Q77"/>
    <x:mergeCell ref="F78:Q78"/>
    <x:mergeCell ref="F79:Q79"/>
    <x:mergeCell ref="A81:Q81"/>
    <x:mergeCell ref="A82:Q82"/>
    <x:mergeCell ref="A83:Q83"/>
    <x:mergeCell ref="A84:Q84"/>
  </x:mergeCells>
  <x:conditionalFormatting sqref="C10:C73">
    <x:cfRule type="containsText" dxfId="0" priority="1" operator="containsText" text="HOLD"/>
    <x:cfRule type="containsText" dxfId="1" priority="2" operator="containsText" text="BUY"/>
    <x:cfRule type="containsText" dxfId="2" priority="3" operator="containsText" text="OWNED"/>
  </x:conditionalFormatting>
  <x:dataValidations count="1">
    <x:dataValidation type="whole" operator="between" sqref="E10:G73">
      <x:formula1>0</x:formula1>
      <x:formula2>1000</x:formula2>
    </x:dataValidation>
  </x:dataValidations>
  <x:pageMargins left="0.7" right="0.7" top="0.75" bottom="0.75" header="0.3" footer="0.3"/>
  <x:tableParts count="1">
    <x:tablePart xmlns:r="http://schemas.openxmlformats.org/officeDocument/2006/relationships" r:id="R9286e46b5ac94b0a"/>
  </x:tableParts>
</x:worksheet>
</file>