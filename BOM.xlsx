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c7b11b4c3c4a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9a182243ad194e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0.00"/>
    <x:numFmt numFmtId="201" formatCode="0;[Red](0);–"/>
    <x:numFmt numFmtId="202" formatCode="$0.00;[Red]($0.00);–"/>
  </x:numFmts>
  <x:fonts count="9">
    <x:font>
      <x:sz val="11"/>
      <x:name val="Carlito"/>
    </x:font>
    <x:font>
      <x:sz val="10"/>
      <x:color rgb="FF203444"/>
      <x:name val="Arial"/>
    </x:font>
    <x:font>
      <x:b/>
      <x:sz val="20"/>
      <x:color rgb="FFFFFFFF"/>
      <x:name val="Arial"/>
    </x:font>
    <x:font>
      <x:sz val="11"/>
      <x:color rgb="FF203F4B"/>
      <x:name val="Arial"/>
    </x:font>
    <x:font>
      <x:b/>
      <x:sz val="16"/>
      <x:color rgb="FF1D5A44"/>
      <x:name val="Arial"/>
    </x:font>
    <x:font>
      <x:b/>
      <x:sz val="10"/>
      <x:color rgb="FFFFFFFF"/>
      <x:name val="Arial"/>
    </x:font>
    <x:font>
      <x:sz val="10"/>
      <x:color rgb="FF2166B1"/>
      <x:name val="Arial"/>
    </x:font>
    <x:font>
      <x:sz val="9"/>
      <x:color rgb="FF287277"/>
      <x:name val="Arial"/>
    </x:font>
    <x:font>
      <x:sz val="9"/>
      <x:color rgb="FF20344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F4B"/>
      </x:patternFill>
    </x:fill>
    <x:fill>
      <x:patternFill patternType="solid">
        <x:fgColor rgb="FFDFECEC"/>
      </x:patternFill>
    </x:fill>
    <x:fill>
      <x:patternFill patternType="solid">
        <x:fgColor rgb="FFD8EDE4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1" fillId="0" borderId="0" xfId="0" applyNumberFormat="1" applyFont="1" applyFill="1" applyBorder="1"/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200" fontId="4" fillId="4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202" fontId="6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865422"/>
      </x:font>
      <x:fill>
        <x:patternFill patternType="solid">
          <x:bgColor rgb="FFFCE3C9"/>
        </x:patternFill>
      </x:fill>
    </x:dxf>
    <x:dxf>
      <x:font>
        <x:b/>
        <x:color rgb="FF1D5A44"/>
      </x:font>
      <x:fill>
        <x:patternFill patternType="solid">
          <x:bgColor rgb="FFD8EDE4"/>
        </x:patternFill>
      </x:fill>
    </x:dxf>
    <x:dxf>
      <x:fill>
        <x:patternFill patternType="solid">
          <x:bgColor rgb="FFE4EC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6d7fefe4c44d9d" /><Relationship Type="http://schemas.openxmlformats.org/officeDocument/2006/relationships/theme" Target="/xl/theme/theme1.xml" Id="R3dd88064ad5e43ce" /><Relationship Type="http://schemas.openxmlformats.org/officeDocument/2006/relationships/sharedStrings" Target="/xl/sharedStrings.xml" Id="R986b80dbe0fe4641" /><Relationship Type="http://schemas.openxmlformats.org/officeDocument/2006/relationships/worksheet" Target="/xl/worksheets/sheet1.xml" Id="R9a182243ad194ec2" /></Relationships>
</file>

<file path=xl/tables/table1.xml><?xml version="1.0" encoding="utf-8"?>
<x:table xmlns:x="http://schemas.openxmlformats.org/spreadsheetml/2006/main" id="1" name="RollerBOM" displayName="RollerBOM" ref="A9:O41" headerRowCount="1" totalsRowCount="0" totalsRowShown="0">
  <x:autoFilter ref="A9:O41"/>
  <x:tableColumns count="15">
    <x:tableColumn id="1" name="ID"/>
    <x:tableColumn id="2" name="Part / exact model"/>
    <x:tableColumn id="3" name="Stage"/>
    <x:tableColumn id="4" name="Vehicle qty"/>
    <x:tableColumn id="5" name="First target"/>
    <x:tableColumn id="6" name="Owned"/>
    <x:tableColumn id="7" name="Ordered"/>
    <x:tableColumn id="8" name="Buy qty"/>
    <x:tableColumn id="9" name="Pack qty"/>
    <x:tableColumn id="10" name="Pack USD"/>
    <x:tableColumn id="11" name="Buy USD"/>
    <x:tableColumn id="12" name="Source"/>
    <x:tableColumn id="13" name="Checked"/>
    <x:tableColumn id="14" name="Reason / sizing / purchase gate"/>
    <x:tableColumn id="15" name="Grou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a2c94565e6429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9" topLeftCell="C10" activePane="bottomRight" state="frozen"/>
    </x:sheetView>
  </x:sheetViews>
  <x:sheetFormatPr defaultRowHeight="15"/>
  <x:cols>
    <x:col min="1" max="1" width="7" hidden="0" customWidth="1"/>
    <x:col min="2" max="2" width="43" hidden="0" customWidth="1"/>
    <x:col min="3" max="3" width="17" hidden="0" customWidth="1"/>
    <x:col min="4" max="4" width="10" hidden="0" customWidth="1"/>
    <x:col min="5" max="5" width="10" hidden="0" customWidth="1"/>
    <x:col min="6" max="6" width="9" hidden="0" customWidth="1"/>
    <x:col min="7" max="7" width="10" hidden="0" customWidth="1"/>
    <x:col min="8" max="8" width="9" hidden="0" customWidth="1"/>
    <x:col min="9" max="9" width="9" hidden="0" customWidth="1"/>
    <x:col min="10" max="10" width="12" hidden="0" customWidth="1"/>
    <x:col min="11" max="11" width="12" hidden="0" customWidth="1"/>
    <x:col min="12" max="12" width="37" hidden="0" customWidth="1"/>
    <x:col min="13" max="13" width="13" hidden="0" customWidth="1"/>
    <x:col min="14" max="14" width="66" hidden="0" customWidth="1"/>
    <x:col min="15" max="15" width="15" hidden="0" customWidth="1"/>
  </x:cols>
  <x:sheetData>
    <x:row r="1" ht="38" customHeight="1">
      <x:c r="A1" s="3" t="str">
        <x:v>ROLLER-300  |  FIRST INDOOR BUILD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9" customHeight="1">
      <x:c r="A2" s="5" t="str">
        <x:v>Owned INJORA INJS035-360 locked. ONE reusable vehicle drive end section. No new servo/programmer purchase. Powered release held.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28" customHeight="1">
      <x:c r="A3" s="7" t="str">
        <x:v>PRICED FIRST-PURCHASE SUBTOTAL</x:v>
      </x:c>
      <x:c r="B3" s="7"/>
      <x:c r="C3" s="7"/>
      <x:c r="D3" s="7"/>
      <x:c r="E3" s="9" t="n">
        <x:f>SUM(K10:K41)</x:f>
        <x:v>33.040000000000006</x:v>
      </x:c>
      <x:c r="F3" s="1" t="str">
        <x:v>USD; excludes tax, delivery, shaft preparation and every blank-price / HOLD item. This is not a vehicle total.</x:v>
      </x:c>
      <x:c r="G3" s="1"/>
      <x:c r="H3" s="1"/>
      <x:c r="I3" s="1"/>
      <x:c r="J3" s="1"/>
      <x:c r="K3" s="1"/>
      <x:c r="L3" s="1"/>
      <x:c r="M3" s="1"/>
      <x:c r="N3" s="1"/>
      <x:c r="O3" s="1"/>
    </x:row>
    <x:row r="4" ht="24" customHeight="1">
      <x:c r="A4" s="1" t="str">
        <x:v>Blue cells are editable quantities/prices. Vehicle quantities are planning counts; blank means unresolved. Owned quantities not confirmed remain blank.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 ht="24" customHeight="1">
      <x:c r="A5" s="1" t="str">
        <x:v>Buy qty = max(first-stage target − owned − already ordered, 0). Pack count rounds up. Enter confirmed purchases in Owned / Ordered.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 ht="24" customHeight="1">
      <x:c r="A6" s="1" t="str">
        <x:v>Canonical record: parts-sources.json. Return workbook edits there before regeneration. Sources and sizing/hold reasons are alongside each row.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</x:row>
    <x:row r="7" ht="24" customHeight="1">
      <x:c r="A7" s="1" t="str">
        <x:v>Priority: reusable wheel support / servo → belt and real limiter → front sensors / cameras → battery, Pixracer, Pi and retained harness.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</x:row>
    <x:row r="9" ht="31" customHeight="1">
      <x:c r="A9" s="11" t="str">
        <x:v>ID</x:v>
      </x:c>
      <x:c r="B9" s="11" t="str">
        <x:v>Part / exact model</x:v>
      </x:c>
      <x:c r="C9" s="11" t="str">
        <x:v>Stage</x:v>
      </x:c>
      <x:c r="D9" s="11" t="str">
        <x:v>Vehicle qty</x:v>
      </x:c>
      <x:c r="E9" s="11" t="str">
        <x:v>First target</x:v>
      </x:c>
      <x:c r="F9" s="11" t="str">
        <x:v>Owned</x:v>
      </x:c>
      <x:c r="G9" s="11" t="str">
        <x:v>Ordered</x:v>
      </x:c>
      <x:c r="H9" s="11" t="str">
        <x:v>Buy qty</x:v>
      </x:c>
      <x:c r="I9" s="11" t="str">
        <x:v>Pack qty</x:v>
      </x:c>
      <x:c r="J9" s="11" t="str">
        <x:v>Pack USD</x:v>
      </x:c>
      <x:c r="K9" s="11" t="str">
        <x:v>Buy USD</x:v>
      </x:c>
      <x:c r="L9" s="11" t="str">
        <x:v>Source</x:v>
      </x:c>
      <x:c r="M9" s="11" t="str">
        <x:v>Checked</x:v>
      </x:c>
      <x:c r="N9" s="11" t="str">
        <x:v>Reason / sizing / purchase gate</x:v>
      </x:c>
      <x:c r="O9" s="11" t="str">
        <x:v>Group</x:v>
      </x:c>
    </x:row>
    <x:row r="10" ht="66" customHeight="1">
      <x:c r="A10" s="13" t="str">
        <x:v>M01</x:v>
      </x:c>
      <x:c r="B10" s="13" t="str">
        <x:v>Continuous-mode standard servo
INJORA INJS035-360</x:v>
      </x:c>
      <x:c r="C10" s="13" t="str">
        <x:v>OWNED</x:v>
      </x:c>
      <x:c r="D10" s="15" t="n">
        <x:v>2</x:v>
      </x:c>
      <x:c r="E10" s="15" t="n">
        <x:v>1</x:v>
      </x:c>
      <x:c r="F10" s="15" t="n">
        <x:v>1</x:v>
      </x:c>
      <x:c r="G10" s="15" t="n">
        <x:v>0</x:v>
      </x:c>
      <x:c r="H10" s="15" t="n">
        <x:f>IF(E10=0,0,MAX(E10-F10-G10,0))</x:f>
        <x:v>0</x:v>
      </x:c>
      <x:c r="I10" s="15" t="n">
        <x:v>1</x:v>
      </x:c>
      <x:c r="J10" s="16" t="n">
        <x:v>22.98</x:v>
      </x:c>
      <x:c r="K10" s="17" t="n">
        <x:f>IF(H10=0,0,IF(ISNUMBER(J10),ROUNDUP(H10/I10,0)*J10,""))</x:f>
        <x:v>0</x:v>
      </x:c>
      <x:c r="L10" s="18" t="str">
        <x:v>https://www.amazon.com/dp/B0C9TM9X2C</x:v>
      </x:c>
      <x:c r="M10" s="19" t="str">
        <x:v>2026-09-13</x:v>
      </x:c>
      <x:c r="N10" s="13" t="str">
        <x:v>Owned servo for first article. 40.5x20x40.5 CASE only; ears/spool measurements pending. Continuous rotation, no feedback.</x:v>
      </x:c>
      <x:c r="O10" s="13" t="str">
        <x:v>Actuator</x:v>
      </x:c>
    </x:row>
    <x:row r="11" ht="66" customHeight="1">
      <x:c r="A11" s="13" t="str">
        <x:v>M02</x:v>
      </x:c>
      <x:c r="B11" s="13" t="str">
        <x:v>One shared servo programmer
3102-0001-0001</x:v>
      </x:c>
      <x:c r="C11" s="13" t="str">
        <x:v>SUPERSEDED</x:v>
      </x:c>
      <x:c r="D11" s="15" t="n">
        <x:v>0</x:v>
      </x:c>
      <x:c r="E11" s="15" t="n">
        <x:v>0</x:v>
      </x:c>
      <x:c r="F11" s="15" t="n">
        <x:v>0</x:v>
      </x:c>
      <x:c r="G11" s="15" t="n">
        <x:v>0</x:v>
      </x:c>
      <x:c r="H11" s="15" t="n">
        <x:f>IF(E11=0,0,MAX(E11-F11-G11,0))</x:f>
        <x:v>0</x:v>
      </x:c>
      <x:c r="I11" s="15" t="n">
        <x:v>1</x:v>
      </x:c>
      <x:c r="J11" s="16" t="n">
        <x:v>12.99</x:v>
      </x:c>
      <x:c r="K11" s="17" t="n">
        <x:f>IF(H11=0,0,IF(ISNUMBER(J11),ROUNDUP(H11/I11,0)*J11,""))</x:f>
        <x:v>0</x:v>
      </x:c>
      <x:c r="L11" s="18" t="str">
        <x:v>https://www.gobilda.com/servo-programmer-for-2000-series-dual-mode-servo/</x:v>
      </x:c>
      <x:c r="M11" s="19" t="str">
        <x:v>2026-09-13</x:v>
      </x:c>
      <x:c r="N11" s="13" t="str">
        <x:v>Not required for owned INJORA servo. Do not order this programmer.</x:v>
      </x:c>
      <x:c r="O11" s="13" t="str">
        <x:v>Actuator</x:v>
      </x:c>
    </x:row>
    <x:row r="12" ht="66" customHeight="1">
      <x:c r="A12" s="13" t="str">
        <x:v>M03</x:v>
      </x:c>
      <x:c r="B12" s="13" t="str">
        <x:v>Accepted endless HTD3M belt
D&amp;D210-3M-09 / B00ISC4PHG</x:v>
      </x:c>
      <x:c r="C12" s="13" t="str">
        <x:v>BUY ONE SIDE</x:v>
      </x:c>
      <x:c r="D12" s="15" t="n">
        <x:v>2</x:v>
      </x:c>
      <x:c r="E12" s="15" t="n">
        <x:v>1</x:v>
      </x:c>
      <x:c r="F12" s="15" t="n">
        <x:v>0</x:v>
      </x:c>
      <x:c r="G12" s="15" t="n">
        <x:v>0</x:v>
      </x:c>
      <x:c r="H12" s="15" t="n">
        <x:f>IF(E12=0,0,MAX(E12-F12-G12,0))</x:f>
        <x:v>1</x:v>
      </x:c>
      <x:c r="I12" s="15" t="n">
        <x:v>1</x:v>
      </x:c>
      <x:c r="J12" s="16" t="n">
        <x:v>7.09</x:v>
      </x:c>
      <x:c r="K12" s="17" t="n">
        <x:f>IF(H12=0,0,IF(ISNUMBER(J12),ROUNDUP(H12/I12,0)*J12,""))</x:f>
        <x:v>7.09</x:v>
      </x:c>
      <x:c r="L12" s="18" t="str">
        <x:v>https://www.amazon.com/dp/B00ISC4PHG</x:v>
      </x:c>
      <x:c r="M12" s="19" t="str">
        <x:v>2026-09-13</x:v>
      </x:c>
      <x:c r="N12" s="13" t="str">
        <x:v>Earlier checked offer; recheck checkout price. 210 mm,70 teeth,9 mm width. Not240 mm.</x:v>
      </x:c>
      <x:c r="O12" s="13" t="str">
        <x:v>Transmission</x:v>
      </x:c>
    </x:row>
    <x:row r="13" ht="66" customHeight="1">
      <x:c r="A13" s="13" t="str">
        <x:v>M04</x:v>
      </x:c>
      <x:c r="B13" s="13" t="str">
        <x:v>8x22x7 radial bearing
1600-0722-0008</x:v>
      </x:c>
      <x:c r="C13" s="13" t="str">
        <x:v>BUY ONE SIDE</x:v>
      </x:c>
      <x:c r="D13" s="15" t="n">
        <x:v>8</x:v>
      </x:c>
      <x:c r="E13" s="15" t="n">
        <x:v>4</x:v>
      </x:c>
      <x:c r="F13" s="15" t="n">
        <x:v>0</x:v>
      </x:c>
      <x:c r="G13" s="15" t="n">
        <x:v>0</x:v>
      </x:c>
      <x:c r="H13" s="15" t="n">
        <x:f>IF(E13=0,0,MAX(E13-F13-G13,0))</x:f>
        <x:v>4</x:v>
      </x:c>
      <x:c r="I13" s="15" t="n">
        <x:v>2</x:v>
      </x:c>
      <x:c r="J13" s="16" t="n">
        <x:v>3.99</x:v>
      </x:c>
      <x:c r="K13" s="17" t="n">
        <x:f>IF(H13=0,0,IF(ISNUMBER(J13),ROUNDUP(H13/I13,0)*J13,""))</x:f>
        <x:v>7.98</x:v>
      </x:c>
      <x:c r="L13" s="18" t="str">
        <x:v>https://www.gobilda.com/1600-series-non-flanged-ball-bearing-8mm-id-x-22mm-od-7mm-thickness-2-pack/</x:v>
      </x:c>
      <x:c r="M13" s="19" t="str">
        <x:v>2026-09-13</x:v>
      </x:c>
      <x:c r="N13" s="13" t="str">
        <x:v>Four each drive side. Confirm actual fit/drag on coupon; not a load rating.</x:v>
      </x:c>
      <x:c r="O13" s="13" t="str">
        <x:v>Support</x:v>
      </x:c>
    </x:row>
    <x:row r="14" ht="66" customHeight="1">
      <x:c r="A14" s="13" t="str">
        <x:v>M05</x:v>
      </x:c>
      <x:c r="B14" s="13" t="str">
        <x:v>8mm round wheel clamp hub
1310-0016-0008</x:v>
      </x:c>
      <x:c r="C14" s="13" t="str">
        <x:v>BUY ONE SIDE</x:v>
      </x:c>
      <x:c r="D14" s="15" t="n">
        <x:v>2</x:v>
      </x:c>
      <x:c r="E14" s="15" t="n">
        <x:v>1</x:v>
      </x:c>
      <x:c r="F14" s="15" t="n">
        <x:v>0</x:v>
      </x:c>
      <x:c r="G14" s="15" t="n">
        <x:v>0</x:v>
      </x:c>
      <x:c r="H14" s="15" t="n">
        <x:f>IF(E14=0,0,MAX(E14-F14-G14,0))</x:f>
        <x:v>1</x:v>
      </x:c>
      <x:c r="I14" s="15" t="n">
        <x:v>1</x:v>
      </x:c>
      <x:c r="J14" s="16" t="n">
        <x:v>7.99</x:v>
      </x:c>
      <x:c r="K14" s="17" t="n">
        <x:f>IF(H14=0,0,IF(ISNUMBER(J14),ROUNDUP(H14/I14,0)*J14,""))</x:f>
        <x:v>7.99</x:v>
      </x:c>
      <x:c r="L14" s="18" t="str">
        <x:v>https://www.gobilda.com/1310-series-hyper-hub-8mm-bore/</x:v>
      </x:c>
      <x:c r="M14" s="19" t="str">
        <x:v>2026-09-13</x:v>
      </x:c>
      <x:c r="N14" s="13" t="str">
        <x:v>16 mm square M4 pattern;22.5 overall axial envelope,30.6 circumscribed diameter.</x:v>
      </x:c>
      <x:c r="O14" s="13" t="str">
        <x:v>Support</x:v>
      </x:c>
    </x:row>
    <x:row r="15" ht="66" customHeight="1">
      <x:c r="A15" s="13" t="str">
        <x:v>M06</x:v>
      </x:c>
      <x:c r="B15" s="13" t="str">
        <x:v>8mm round clamp collar
2910-0921-0008</x:v>
      </x:c>
      <x:c r="C15" s="13" t="str">
        <x:v>BUY ONE SIDE</x:v>
      </x:c>
      <x:c r="D15" s="15" t="n">
        <x:v>4</x:v>
      </x:c>
      <x:c r="E15" s="15" t="n">
        <x:v>2</x:v>
      </x:c>
      <x:c r="F15" s="15" t="n">
        <x:v>0</x:v>
      </x:c>
      <x:c r="G15" s="15" t="n">
        <x:v>0</x:v>
      </x:c>
      <x:c r="H15" s="15" t="n">
        <x:f>IF(E15=0,0,MAX(E15-F15-G15,0))</x:f>
        <x:v>2</x:v>
      </x:c>
      <x:c r="I15" s="15" t="n">
        <x:v>1</x:v>
      </x:c>
      <x:c r="J15" s="16" t="n">
        <x:v>4.99</x:v>
      </x:c>
      <x:c r="K15" s="17" t="n">
        <x:f>IF(H15=0,0,IF(ISNUMBER(J15),ROUNDUP(H15/I15,0)*J15,""))</x:f>
        <x:v>9.98</x:v>
      </x:c>
      <x:c r="L15" s="18" t="str">
        <x:v>https://www.gobilda.com/2910-series-aluminum-clamping-collar-8mm-id-x-21mm-od-9mm-length/</x:v>
      </x:c>
      <x:c r="M15" s="19" t="str">
        <x:v>2026-09-13</x:v>
      </x:c>
      <x:c r="N15" s="13" t="str">
        <x:v>Two per wheel shaft; input retention separate and unresolved. Actual9 mm length.</x:v>
      </x:c>
      <x:c r="O15" s="13" t="str">
        <x:v>Support</x:v>
      </x:c>
    </x:row>
    <x:row r="16" ht="66" customHeight="1">
      <x:c r="A16" s="13" t="str">
        <x:v>M07</x:v>
      </x:c>
      <x:c r="B16" s="13" t="str">
        <x:v>Wheel shaft blanks,8mm smooth
2100-0008-0150 candidate</x:v>
      </x:c>
      <x:c r="C16" s="13" t="str">
        <x:v>HOLD</x:v>
      </x:c>
      <x:c r="D16" s="15" t="n">
        <x:v>2</x:v>
      </x:c>
      <x:c r="E16" s="15" t="n">
        <x:v>0</x:v>
      </x:c>
      <x:c r="F16" s="15" t="n">
        <x:v>0</x:v>
      </x:c>
      <x:c r="G16" s="15" t="n">
        <x:v>0</x:v>
      </x:c>
      <x:c r="H16" s="15" t="n">
        <x:f>IF(E16=0,0,MAX(E16-F16-G16,0))</x:f>
        <x:v>0</x:v>
      </x:c>
      <x:c r="I16" s="15" t="n">
        <x:v>1</x:v>
      </x:c>
      <x:c r="J16" s="16" t="n">
        <x:v>4.29</x:v>
      </x:c>
      <x:c r="K16" s="17" t="n">
        <x:f>IF(H16=0,0,IF(ISNUMBER(J16),ROUNDUP(H16/I16,0)*J16,""))</x:f>
        <x:v>0</x:v>
      </x:c>
      <x:c r="L16" s="18" t="str">
        <x:v>https://www.gobilda.com/stainless-steel-round-shafting</x:v>
      </x:c>
      <x:c r="M16" s="19" t="str">
        <x:v>2026-09-13</x:v>
      </x:c>
      <x:c r="N16" s="13" t="str">
        <x:v>150 mm blank needs110 mm finished length and clutch flat. Verify purchased finish/fit and local cutting or order prepared shafts; no workshop assumed.</x:v>
      </x:c>
      <x:c r="O16" s="13" t="str">
        <x:v>Support</x:v>
      </x:c>
    </x:row>
    <x:row r="17" ht="66" customHeight="1">
      <x:c r="A17" s="13" t="str">
        <x:v>M08</x:v>
      </x:c>
      <x:c r="B17" s="13" t="str">
        <x:v>Input shafts + retention
Exact finished part pending</x:v>
      </x:c>
      <x:c r="C17" s="13" t="str">
        <x:v>HOLD</x:v>
      </x:c>
      <x:c r="D17" s="15" t="n">
        <x:v>2</x:v>
      </x:c>
      <x:c r="E17" s="15" t="n">
        <x:v>0</x:v>
      </x:c>
      <x:c r="F17" s="15" t="n">
        <x:v>0</x:v>
      </x:c>
      <x:c r="G17" s="15" t="n">
        <x:v>0</x:v>
      </x:c>
      <x:c r="H17" s="15" t="n">
        <x:f>IF(E17=0,0,MAX(E17-F17-G17,0))</x:f>
        <x:v>0</x:v>
      </x:c>
      <x:c r="I17" s="15" t="n">
        <x:v>1</x:v>
      </x:c>
      <x:c r="J17" s="16"/>
      <x:c r="K17" s="17" t="n">
        <x:f>IF(H17=0,0,IF(ISNUMBER(J17),ROUNDUP(H17/I17,0)*J17,""))</x:f>
        <x:v>0</x:v>
      </x:c>
      <x:c r="L17" s="18" t="str"/>
      <x:c r="M17" s="19" t="str">
        <x:v>2026-09-13</x:v>
      </x:c>
      <x:c r="N17" s="13" t="str">
        <x:v>49 mm shaft geometry Y55..104, with prepared end groove/retaining ring. Groove, shims, adapter and supplier remain HOLD; do not order a wrong specification.</x:v>
      </x:c>
      <x:c r="O17" s="13" t="str">
        <x:v>Support</x:v>
      </x:c>
    </x:row>
    <x:row r="18" ht="66" customHeight="1">
      <x:c r="A18" s="13" t="str">
        <x:v>M09</x:v>
      </x:c>
      <x:c r="B18" s="13" t="str">
        <x:v>Bidirectional output slip limiter
ComInTec00.25 DF d8 T1</x:v>
      </x:c>
      <x:c r="C18" s="13" t="str">
        <x:v>HOLD</x:v>
      </x:c>
      <x:c r="D18" s="15" t="n">
        <x:v>2</x:v>
      </x:c>
      <x:c r="E18" s="15" t="n">
        <x:v>0</x:v>
      </x:c>
      <x:c r="F18" s="15" t="n">
        <x:v>0</x:v>
      </x:c>
      <x:c r="G18" s="15" t="n">
        <x:v>0</x:v>
      </x:c>
      <x:c r="H18" s="15" t="n">
        <x:f>IF(E18=0,0,MAX(E18-F18-G18,0))</x:f>
        <x:v>0</x:v>
      </x:c>
      <x:c r="I18" s="15" t="n">
        <x:v>1</x:v>
      </x:c>
      <x:c r="J18" s="16"/>
      <x:c r="K18" s="17" t="n">
        <x:f>IF(H18=0,0,IF(ISNUMBER(J18),ROUNDUP(H18/I18,0)*J18,""))</x:f>
        <x:v>0</x:v>
      </x:c>
      <x:c r="L18" s="18" t="str">
        <x:v>https://www.comintec.com/download/cataloghi/sezioni/torque_limiters/DF_EN.pdf</x:v>
      </x:c>
      <x:c r="M18" s="19" t="str">
        <x:v>2026-09-13</x:v>
      </x:c>
      <x:c r="N18" s="13" t="str">
        <x:v>Supplier-confirm finished bore, torque tolerance near1 Nm, slip duty, support, stock and complete installed price. $79.80 indicative listing excluded.</x:v>
      </x:c>
      <x:c r="O18" s="13" t="str">
        <x:v>Transmission</x:v>
      </x:c>
    </x:row>
    <x:row r="19" ht="66" customHeight="1">
      <x:c r="A19" s="13" t="str">
        <x:v>M10</x:v>
      </x:c>
      <x:c r="B19" s="13" t="str">
        <x:v>Ground metal drive plates / bushes
Supplier prepared to00.25 DF</x:v>
      </x:c>
      <x:c r="C19" s="13" t="str">
        <x:v>HOLD</x:v>
      </x:c>
      <x:c r="D19" s="15" t="n">
        <x:v>2</x:v>
      </x:c>
      <x:c r="E19" s="15" t="n">
        <x:v>0</x:v>
      </x:c>
      <x:c r="F19" s="15" t="n">
        <x:v>0</x:v>
      </x:c>
      <x:c r="G19" s="15" t="n">
        <x:v>0</x:v>
      </x:c>
      <x:c r="H19" s="15" t="n">
        <x:f>IF(E19=0,0,MAX(E19-F19-G19,0))</x:f>
        <x:v>0</x:v>
      </x:c>
      <x:c r="I19" s="15" t="n">
        <x:v>1</x:v>
      </x:c>
      <x:c r="J19" s="16"/>
      <x:c r="K19" s="17" t="n">
        <x:f>IF(H19=0,0,IF(ISNUMBER(J19),ROUNDUP(H19/I19,0)*J19,""))</x:f>
        <x:v>0</x:v>
      </x:c>
      <x:c r="L19" s="18" t="str"/>
      <x:c r="M19" s="19" t="str">
        <x:v>2026-09-13</x:v>
      </x:c>
      <x:c r="N19" s="13" t="str">
        <x:v>Plate thickness2 mm proposed; bush bore, friction surface, fastener circle and cost pending. No printed wear face.</x:v>
      </x:c>
      <x:c r="O19" s="13" t="str">
        <x:v>Transmission</x:v>
      </x:c>
    </x:row>
    <x:row r="20" ht="66" customHeight="1">
      <x:c r="A20" s="13" t="str">
        <x:v>M11</x:v>
      </x:c>
      <x:c r="B20" s="13" t="str">
        <x:v>Supported horn bridges / input clamps
Matched to included horn</x:v>
      </x:c>
      <x:c r="C20" s="13" t="str">
        <x:v>HOLD</x:v>
      </x:c>
      <x:c r="D20" s="15" t="n">
        <x:v>2</x:v>
      </x:c>
      <x:c r="E20" s="15" t="n">
        <x:v>0</x:v>
      </x:c>
      <x:c r="F20" s="15" t="n">
        <x:v>0</x:v>
      </x:c>
      <x:c r="G20" s="15" t="n">
        <x:v>0</x:v>
      </x:c>
      <x:c r="H20" s="15" t="n">
        <x:f>IF(E20=0,0,MAX(E20-F20-G20,0))</x:f>
        <x:v>0</x:v>
      </x:c>
      <x:c r="I20" s="15" t="n">
        <x:v>1</x:v>
      </x:c>
      <x:c r="J20" s="16"/>
      <x:c r="K20" s="17" t="n">
        <x:f>IF(H20=0,0,IF(ISNUMBER(J20),ROUNDUP(H20/I20,0)*J20,""))</x:f>
        <x:v>0</x:v>
      </x:c>
      <x:c r="L20" s="18" t="str"/>
      <x:c r="M20" s="19" t="str">
        <x:v>2026-09-13</x:v>
      </x:c>
      <x:c r="N20" s="13" t="str">
        <x:v>Floating torque-only bridge; measure supplied horn. Independent input bearings required.</x:v>
      </x:c>
      <x:c r="O20" s="13" t="str">
        <x:v>Transmission</x:v>
      </x:c>
    </x:row>
    <x:row r="21" ht="66" customHeight="1">
      <x:c r="A21" s="13" t="str">
        <x:v>P01</x:v>
      </x:c>
      <x:c r="B21" s="13" t="str">
        <x:v>24T input and48T output pulleys
HTD3M,9 mm belt</x:v>
      </x:c>
      <x:c r="C21" s="13" t="str">
        <x:v>PRINT LATER</x:v>
      </x:c>
      <x:c r="D21" s="15" t="n">
        <x:v>4</x:v>
      </x:c>
      <x:c r="E21" s="15" t="n">
        <x:v>0</x:v>
      </x:c>
      <x:c r="F21" s="15" t="n">
        <x:v>0</x:v>
      </x:c>
      <x:c r="G21" s="15" t="n">
        <x:v>0</x:v>
      </x:c>
      <x:c r="H21" s="15" t="n">
        <x:f>IF(E21=0,0,MAX(E21-F21-G21,0))</x:f>
        <x:v>0</x:v>
      </x:c>
      <x:c r="I21" s="15" t="n">
        <x:v>1</x:v>
      </x:c>
      <x:c r="J21" s="16"/>
      <x:c r="K21" s="17" t="n">
        <x:f>IF(H21=0,0,IF(ISNUMBER(J21),ROUNDUP(H21/I21,0)*J21,""))</x:f>
        <x:v>0</x:v>
      </x:c>
      <x:c r="L21" s="18" t="str"/>
      <x:c r="M21" s="19" t="str">
        <x:v>2026-09-13</x:v>
      </x:c>
      <x:c r="N21" s="13" t="str">
        <x:v>Native HTD3M tooth geometry exists. Bought belt fit, shaft attachment, clutch plate/bush and loaded operation remain unqualified.</x:v>
      </x:c>
      <x:c r="O21" s="13" t="str">
        <x:v>Printed</x:v>
      </x:c>
    </x:row>
    <x:row r="22" ht="66" customHeight="1">
      <x:c r="A22" s="13" t="str">
        <x:v>P02</x:v>
      </x:c>
      <x:c r="B22" s="13" t="str">
        <x:v>One complete 246 mm wheel print set
P01 center + P02 bead ring + P03 TPU tread</x:v>
      </x:c>
      <x:c r="C22" s="13" t="str">
        <x:v>DEFER WHEEL</x:v>
      </x:c>
      <x:c r="D22" s="15" t="n">
        <x:v>2</x:v>
      </x:c>
      <x:c r="E22" s="15" t="n">
        <x:v>0</x:v>
      </x:c>
      <x:c r="F22" s="15" t="n">
        <x:v>0</x:v>
      </x:c>
      <x:c r="G22" s="15" t="n">
        <x:v>0</x:v>
      </x:c>
      <x:c r="H22" s="15" t="n">
        <x:f>IF(E22=0,0,MAX(E22-F22-G22,0))</x:f>
        <x:v>0</x:v>
      </x:c>
      <x:c r="I22" s="15" t="n">
        <x:v>1</x:v>
      </x:c>
      <x:c r="J22" s="16"/>
      <x:c r="K22" s="17" t="n">
        <x:f>IF(H22=0,0,IF(ISNUMBER(J22),ROUNDUP(H22/I22,0)*J22,""))</x:f>
        <x:v>0</x:v>
      </x:c>
      <x:c r="L22" s="18" t="str"/>
      <x:c r="M22" s="19" t="str">
        <x:v>2026-09-13</x:v>
      </x:c>
      <x:c r="N22" s="13" t="str">
        <x:v>Wheel/tire selection and printing deferred by user. Three STL parts; unpowered fit only. Offline X2D 0.4 mm slice estimates total 505 g filament / 20 h including print aids. Actual nozzle/material and physical fit unverified.</x:v>
      </x:c>
      <x:c r="O22" s="13" t="str">
        <x:v>Printed</x:v>
      </x:c>
    </x:row>
    <x:row r="23" ht="66" customHeight="1">
      <x:c r="A23" s="13" t="str">
        <x:v>P03</x:v>
      </x:c>
      <x:c r="B23" s="13" t="str">
        <x:v>Barrel, covers, lid, ribs and mounts
D160x210</x:v>
      </x:c>
      <x:c r="C23" s="13" t="str">
        <x:v>PRINT LATER</x:v>
      </x:c>
      <x:c r="D23" s="15" t="n">
        <x:v>1</x:v>
      </x:c>
      <x:c r="E23" s="15" t="n">
        <x:v>0</x:v>
      </x:c>
      <x:c r="F23" s="15" t="n">
        <x:v>0</x:v>
      </x:c>
      <x:c r="G23" s="15" t="n">
        <x:v>0</x:v>
      </x:c>
      <x:c r="H23" s="15" t="n">
        <x:f>IF(E23=0,0,MAX(E23-F23-G23,0))</x:f>
        <x:v>0</x:v>
      </x:c>
      <x:c r="I23" s="15" t="n">
        <x:v>1</x:v>
      </x:c>
      <x:c r="J23" s="16"/>
      <x:c r="K23" s="17" t="n">
        <x:f>IF(H23=0,0,IF(ISNUMBER(J23),ROUNDUP(H23/I23,0)*J23,""))</x:f>
        <x:v>0</x:v>
      </x:c>
      <x:c r="L23" s="18" t="str"/>
      <x:c r="M23" s="19" t="str">
        <x:v>2026-09-13</x:v>
      </x:c>
      <x:c r="N23" s="13" t="str">
        <x:v>Current end section uses D159 shell, D151 register and four M4 body mounts. Separate main drum and electronics lid remain later prints; do not duplicate the end section.</x:v>
      </x:c>
      <x:c r="O23" s="13" t="str">
        <x:v>Printed</x:v>
      </x:c>
    </x:row>
    <x:row r="24" ht="66" customHeight="1">
      <x:c r="A24" s="13" t="str">
        <x:v>P04</x:v>
      </x:c>
      <x:c r="B24" s="13" t="str">
        <x:v>Bearing fit coupon
22.05/22.15/22.25 holes</x:v>
      </x:c>
      <x:c r="C24" s="13" t="str">
        <x:v>PRINT GAUGE</x:v>
      </x:c>
      <x:c r="D24" s="15" t="n">
        <x:v>1</x:v>
      </x:c>
      <x:c r="E24" s="15" t="n">
        <x:v>1</x:v>
      </x:c>
      <x:c r="F24" s="15" t="n">
        <x:v>0</x:v>
      </x:c>
      <x:c r="G24" s="15" t="n">
        <x:v>0</x:v>
      </x:c>
      <x:c r="H24" s="15" t="n">
        <x:f>IF(E24=0,0,MAX(E24-F24-G24,0))</x:f>
        <x:v>1</x:v>
      </x:c>
      <x:c r="I24" s="15" t="n">
        <x:v>1</x:v>
      </x:c>
      <x:c r="J24" s="16"/>
      <x:c r="K24" s="17" t="str">
        <x:f>IF(H24=0,0,IF(ISNUMBER(J24),ROUNDUP(H24/I24,0)*J24,""))</x:f>
      </x:c>
      <x:c r="L24" s="18" t="str"/>
      <x:c r="M24" s="19" t="str">
        <x:v>2026-09-13</x:v>
      </x:c>
      <x:c r="N24" s="13" t="str">
        <x:v>Non-powered PETG dimensional coupon,80x32x7; keep orientation consistent with final seats.</x:v>
      </x:c>
      <x:c r="O24" s="13" t="str">
        <x:v>Printed</x:v>
      </x:c>
    </x:row>
    <x:row r="25" ht="66" customHeight="1">
      <x:c r="A25" s="13" t="str">
        <x:v>P05</x:v>
      </x:c>
      <x:c r="B25" s="13" t="str">
        <x:v>Servo fit gauge
Selected25-2 mounting frame</x:v>
      </x:c>
      <x:c r="C25" s="13" t="str">
        <x:v>SUPERSEDED</x:v>
      </x:c>
      <x:c r="D25" s="15" t="n">
        <x:v>0</x:v>
      </x:c>
      <x:c r="E25" s="15" t="n">
        <x:v>0</x:v>
      </x:c>
      <x:c r="F25" s="15" t="n">
        <x:v>0</x:v>
      </x:c>
      <x:c r="G25" s="15" t="n">
        <x:v>0</x:v>
      </x:c>
      <x:c r="H25" s="15" t="n">
        <x:f>IF(E25=0,0,MAX(E25-F25-G25,0))</x:f>
        <x:v>0</x:v>
      </x:c>
      <x:c r="I25" s="15" t="n">
        <x:v>1</x:v>
      </x:c>
      <x:c r="J25" s="16"/>
      <x:c r="K25" s="17" t="n">
        <x:f>IF(H25=0,0,IF(ISNUMBER(J25),ROUNDUP(H25/I25,0)*J25,""))</x:f>
        <x:v>0</x:v>
      </x:c>
      <x:c r="L25" s="18" t="str"/>
      <x:c r="M25" s="19" t="str">
        <x:v>2026-09-13</x:v>
      </x:c>
      <x:c r="N25" s="13" t="str">
        <x:v>goBILDA25-2 gauge does not establish owned INJORA fit. Do not print for this servo.</x:v>
      </x:c>
      <x:c r="O25" s="13" t="str">
        <x:v>Printed</x:v>
      </x:c>
    </x:row>
    <x:row r="26" ht="66" customHeight="1">
      <x:c r="A26" s="13" t="str">
        <x:v>H01</x:v>
      </x:c>
      <x:c r="B26" s="13" t="str">
        <x:v>Major M4 bolts, captive nuts, washers
Consistent metric family</x:v>
      </x:c>
      <x:c r="C26" s="13" t="str">
        <x:v>HOLD</x:v>
      </x:c>
      <x:c r="D26" s="15"/>
      <x:c r="E26" s="15" t="n">
        <x:v>0</x:v>
      </x:c>
      <x:c r="F26" s="15"/>
      <x:c r="G26" s="15" t="n">
        <x:v>0</x:v>
      </x:c>
      <x:c r="H26" s="15" t="n">
        <x:f>IF(E26=0,0,MAX(E26-F26-G26,0))</x:f>
        <x:v>0</x:v>
      </x:c>
      <x:c r="I26" s="15" t="n">
        <x:v>1</x:v>
      </x:c>
      <x:c r="J26" s="16"/>
      <x:c r="K26" s="17" t="n">
        <x:f>IF(H26=0,0,IF(ISNUMBER(J26),ROUNDUP(H26/I26,0)*J26,""))</x:f>
        <x:v>0</x:v>
      </x:c>
      <x:c r="L26" s="18" t="str"/>
      <x:c r="M26" s="19" t="str">
        <x:v>2026-09-13</x:v>
      </x:c>
      <x:c r="N26" s="13" t="str">
        <x:v>Per drive: four M4 body bolts, eight M4 bearing-cap bolts and four M4 carriage bolts plus nuts/washers. Four M3 cover screws and four M3 saddle screws also required. Lengths/locking/tool fit remain to verify. Wheel hardware deferred separately.</x:v>
      </x:c>
      <x:c r="O26" s="13" t="str">
        <x:v>Hardware</x:v>
      </x:c>
    </x:row>
    <x:row r="27" ht="66" customHeight="1">
      <x:c r="A27" s="13" t="str">
        <x:v>E01</x:v>
      </x:c>
      <x:c r="B27" s="13" t="str">
        <x:v>Small3-cell battery
Owned, identity/dimensions pending</x:v>
      </x:c>
      <x:c r="C27" s="13" t="str">
        <x:v>OWNED</x:v>
      </x:c>
      <x:c r="D27" s="15" t="n">
        <x:v>1</x:v>
      </x:c>
      <x:c r="E27" s="15" t="n">
        <x:v>0</x:v>
      </x:c>
      <x:c r="F27" s="15" t="n">
        <x:v>1</x:v>
      </x:c>
      <x:c r="G27" s="15" t="n">
        <x:v>0</x:v>
      </x:c>
      <x:c r="H27" s="15" t="n">
        <x:f>IF(E27=0,0,MAX(E27-F27-G27,0))</x:f>
        <x:v>0</x:v>
      </x:c>
      <x:c r="I27" s="15" t="n">
        <x:v>1</x:v>
      </x:c>
      <x:c r="J27" s="16"/>
      <x:c r="K27" s="17" t="n">
        <x:f>IF(H27=0,0,IF(ISNUMBER(J27),ROUNDUP(H27/I27,0)*J27,""))</x:f>
        <x:v>0</x:v>
      </x:c>
      <x:c r="L27" s="18" t="str"/>
      <x:c r="M27" s="19" t="str">
        <x:v>2026-09-13</x:v>
      </x:c>
      <x:c r="N27" s="13" t="str">
        <x:v>Measure body and lead/plug envelope plus mass;90x85x30 box is not measured.</x:v>
      </x:c>
      <x:c r="O27" s="13" t="str">
        <x:v>Owned</x:v>
      </x:c>
    </x:row>
    <x:row r="28" ht="66" customHeight="1">
      <x:c r="A28" s="13" t="str">
        <x:v>E02</x:v>
      </x:c>
      <x:c r="B28" s="13" t="str">
        <x:v>Original Pixracer
Owned original</x:v>
      </x:c>
      <x:c r="C28" s="13" t="str">
        <x:v>OWNED</x:v>
      </x:c>
      <x:c r="D28" s="15" t="n">
        <x:v>1</x:v>
      </x:c>
      <x:c r="E28" s="15" t="n">
        <x:v>0</x:v>
      </x:c>
      <x:c r="F28" s="15" t="n">
        <x:v>1</x:v>
      </x:c>
      <x:c r="G28" s="15" t="n">
        <x:v>0</x:v>
      </x:c>
      <x:c r="H28" s="15" t="n">
        <x:f>IF(E28=0,0,MAX(E28-F28-G28,0))</x:f>
        <x:v>0</x:v>
      </x:c>
      <x:c r="I28" s="15" t="n">
        <x:v>1</x:v>
      </x:c>
      <x:c r="J28" s="16"/>
      <x:c r="K28" s="17" t="n">
        <x:f>IF(H28=0,0,IF(ISNUMBER(J28),ROUNDUP(H28/I28,0)*J28,""))</x:f>
        <x:v>0</x:v>
      </x:c>
      <x:c r="L28" s="18" t="str"/>
      <x:c r="M28" s="19" t="str">
        <x:v>2026-09-13</x:v>
      </x:c>
      <x:c r="N28" s="13" t="str">
        <x:v>Case, cable/plug profile and mounting must be measured; installation allowance60x60x35.</x:v>
      </x:c>
      <x:c r="O28" s="13" t="str">
        <x:v>Owned</x:v>
      </x:c>
    </x:row>
    <x:row r="29" ht="66" customHeight="1">
      <x:c r="A29" s="13" t="str">
        <x:v>E03</x:v>
      </x:c>
      <x:c r="B29" s="13" t="str">
        <x:v>Pi Zero with Wi-Fi
Owned variant pending</x:v>
      </x:c>
      <x:c r="C29" s="13" t="str">
        <x:v>OWNED</x:v>
      </x:c>
      <x:c r="D29" s="15" t="n">
        <x:v>1</x:v>
      </x:c>
      <x:c r="E29" s="15" t="n">
        <x:v>0</x:v>
      </x:c>
      <x:c r="F29" s="15" t="n">
        <x:v>1</x:v>
      </x:c>
      <x:c r="G29" s="15" t="n">
        <x:v>0</x:v>
      </x:c>
      <x:c r="H29" s="15" t="n">
        <x:f>IF(E29=0,0,MAX(E29-F29-G29,0))</x:f>
        <x:v>0</x:v>
      </x:c>
      <x:c r="I29" s="15" t="n">
        <x:v>1</x:v>
      </x:c>
      <x:c r="J29" s="16"/>
      <x:c r="K29" s="17" t="n">
        <x:f>IF(H29=0,0,IF(ISNUMBER(J29),ROUNDUP(H29/I29,0)*J29,""))</x:f>
        <x:v>0</x:v>
      </x:c>
      <x:c r="L29" s="18" t="str"/>
      <x:c r="M29" s="19" t="str">
        <x:v>2026-09-13</x:v>
      </x:c>
      <x:c r="N29" s="13" t="str">
        <x:v>Bare board nominal65x30x5; headers/case/mated plugs separate. No visible camera owned.</x:v>
      </x:c>
      <x:c r="O29" s="13" t="str">
        <x:v>Owned</x:v>
      </x:c>
    </x:row>
    <x:row r="30" ht="66" customHeight="1">
      <x:c r="A30" s="13" t="str">
        <x:v>S01</x:v>
      </x:c>
      <x:c r="B30" s="13" t="str">
        <x:v>Front distance modules
ACEIRMC TOF400C/B0DC6M6G7W</x:v>
      </x:c>
      <x:c r="C30" s="13" t="str">
        <x:v>MEASURE</x:v>
      </x:c>
      <x:c r="D30" s="15" t="n">
        <x:v>4</x:v>
      </x:c>
      <x:c r="E30" s="15" t="n">
        <x:v>0</x:v>
      </x:c>
      <x:c r="F30" s="15"/>
      <x:c r="G30" s="15" t="n">
        <x:v>0</x:v>
      </x:c>
      <x:c r="H30" s="15" t="n">
        <x:f>IF(E30=0,0,MAX(E30-F30-G30,0))</x:f>
        <x:v>0</x:v>
      </x:c>
      <x:c r="I30" s="15" t="n">
        <x:v>4</x:v>
      </x:c>
      <x:c r="J30" s="16"/>
      <x:c r="K30" s="17" t="n">
        <x:f>IF(H30=0,0,IF(ISNUMBER(J30),ROUNDUP(H30/I30,0)*J30,""))</x:f>
        <x:v>0</x:v>
      </x:c>
      <x:c r="L30" s="18" t="str">
        <x:v>https://www.amazon.com/dp/B0DC6M6G7W</x:v>
      </x:c>
      <x:c r="M30" s="19" t="str">
        <x:v>2026-09-13</x:v>
      </x:c>
      <x:c r="N30" s="13" t="str">
        <x:v>20x12 footprint known. Count on hand and full depth over optical hood/solder needed; no headers attached.</x:v>
      </x:c>
      <x:c r="O30" s="13" t="str">
        <x:v>Sensors</x:v>
      </x:c>
    </x:row>
    <x:row r="31" ht="66" customHeight="1">
      <x:c r="A31" s="13" t="str">
        <x:v>S02</x:v>
      </x:c>
      <x:c r="B31" s="13" t="str">
        <x:v>Forward thermal camera
TOPDON TC002C Duo</x:v>
      </x:c>
      <x:c r="C31" s="13" t="str">
        <x:v>MEASURE</x:v>
      </x:c>
      <x:c r="D31" s="15" t="n">
        <x:v>1</x:v>
      </x:c>
      <x:c r="E31" s="15" t="n">
        <x:v>0</x:v>
      </x:c>
      <x:c r="F31" s="15"/>
      <x:c r="G31" s="15" t="n">
        <x:v>0</x:v>
      </x:c>
      <x:c r="H31" s="15" t="n">
        <x:f>IF(E31=0,0,MAX(E31-F31-G31,0))</x:f>
        <x:v>0</x:v>
      </x:c>
      <x:c r="I31" s="15" t="n">
        <x:v>1</x:v>
      </x:c>
      <x:c r="J31" s="16"/>
      <x:c r="K31" s="17" t="n">
        <x:f>IF(H31=0,0,IF(ISNUMBER(J31),ROUNDUP(H31/I31,0)*J31,""))</x:f>
        <x:v>0</x:v>
      </x:c>
      <x:c r="L31" s="18" t="str">
        <x:v>https://www.topdon.us/products/tc002c-duo</x:v>
      </x:c>
      <x:c r="M31" s="19" t="str">
        <x:v>2026-09-13</x:v>
      </x:c>
      <x:c r="N31" s="13" t="str">
        <x:v>71x42x14 including built-in plug; confirm possession, mated extension and lens center.</x:v>
      </x:c>
      <x:c r="O31" s="13" t="str">
        <x:v>Sensors</x:v>
      </x:c>
    </x:row>
    <x:row r="32" ht="66" customHeight="1">
      <x:c r="A32" s="13" t="str">
        <x:v>S03</x:v>
      </x:c>
      <x:c r="B32" s="13" t="str">
        <x:v>Forward visible camera
Not selected / not owned</x:v>
      </x:c>
      <x:c r="C32" s="13" t="str">
        <x:v>HOLD</x:v>
      </x:c>
      <x:c r="D32" s="15" t="n">
        <x:v>1</x:v>
      </x:c>
      <x:c r="E32" s="15" t="n">
        <x:v>0</x:v>
      </x:c>
      <x:c r="F32" s="15" t="n">
        <x:v>0</x:v>
      </x:c>
      <x:c r="G32" s="15" t="n">
        <x:v>0</x:v>
      </x:c>
      <x:c r="H32" s="15" t="n">
        <x:f>IF(E32=0,0,MAX(E32-F32-G32,0))</x:f>
        <x:v>0</x:v>
      </x:c>
      <x:c r="I32" s="15" t="n">
        <x:v>1</x:v>
      </x:c>
      <x:c r="J32" s="16"/>
      <x:c r="K32" s="17" t="n">
        <x:f>IF(H32=0,0,IF(ISNUMBER(J32),ROUNDUP(H32/I32,0)*J32,""))</x:f>
        <x:v>0</x:v>
      </x:c>
      <x:c r="L32" s="18" t="str"/>
      <x:c r="M32" s="19" t="str">
        <x:v>2026-09-13</x:v>
      </x:c>
      <x:c r="N32" s="13" t="str">
        <x:v>Select exact camera/lens before solid and aperture. No guessed envelope.</x:v>
      </x:c>
      <x:c r="O32" s="13" t="str">
        <x:v>Sensors</x:v>
      </x:c>
    </x:row>
    <x:row r="33" ht="66" customHeight="1">
      <x:c r="A33" s="13" t="str">
        <x:v>S04</x:v>
      </x:c>
      <x:c r="B33" s="13" t="str">
        <x:v>Post-clutch wheel motion readers + targets
Exact hardware pending</x:v>
      </x:c>
      <x:c r="C33" s="13" t="str">
        <x:v>HOLD</x:v>
      </x:c>
      <x:c r="D33" s="15" t="n">
        <x:v>2</x:v>
      </x:c>
      <x:c r="E33" s="15" t="n">
        <x:v>0</x:v>
      </x:c>
      <x:c r="F33" s="15" t="n">
        <x:v>0</x:v>
      </x:c>
      <x:c r="G33" s="15" t="n">
        <x:v>0</x:v>
      </x:c>
      <x:c r="H33" s="15" t="n">
        <x:f>IF(E33=0,0,MAX(E33-F33-G33,0))</x:f>
        <x:v>0</x:v>
      </x:c>
      <x:c r="I33" s="15" t="n">
        <x:v>1</x:v>
      </x:c>
      <x:c r="J33" s="16"/>
      <x:c r="K33" s="17" t="n">
        <x:f>IF(H33=0,0,IF(ISNUMBER(J33),ROUNDUP(H33/I33,0)*J33,""))</x:f>
        <x:v>0</x:v>
      </x:c>
      <x:c r="L33" s="18" t="str"/>
      <x:c r="M33" s="19" t="str">
        <x:v>2026-09-13</x:v>
      </x:c>
      <x:c r="N33" s="13" t="str">
        <x:v>Keep shaft-end access. Non-feedback servo also needs actual pre-clutch motion reference for direct slip measurement.</x:v>
      </x:c>
      <x:c r="O33" s="13" t="str">
        <x:v>Sensors</x:v>
      </x:c>
    </x:row>
    <x:row r="34" ht="66" customHeight="1">
      <x:c r="A34" s="13" t="str">
        <x:v>S05</x:v>
      </x:c>
      <x:c r="B34" s="13" t="str">
        <x:v>Pre-clutch readers + targets
Needed with non-feedback servo</x:v>
      </x:c>
      <x:c r="C34" s="13" t="str">
        <x:v>HOLD</x:v>
      </x:c>
      <x:c r="D34" s="15" t="n">
        <x:v>2</x:v>
      </x:c>
      <x:c r="E34" s="15" t="n">
        <x:v>0</x:v>
      </x:c>
      <x:c r="F34" s="15" t="n">
        <x:v>0</x:v>
      </x:c>
      <x:c r="G34" s="15" t="n">
        <x:v>0</x:v>
      </x:c>
      <x:c r="H34" s="15" t="n">
        <x:f>IF(E34=0,0,MAX(E34-F34-G34,0))</x:f>
        <x:v>0</x:v>
      </x:c>
      <x:c r="I34" s="15" t="n">
        <x:v>1</x:v>
      </x:c>
      <x:c r="J34" s="16"/>
      <x:c r="K34" s="17" t="n">
        <x:f>IF(H34=0,0,IF(ISNUMBER(J34),ROUNDUP(H34/I34,0)*J34,""))</x:f>
        <x:v>0</x:v>
      </x:c>
      <x:c r="L34" s="18" t="str"/>
      <x:c r="M34" s="19" t="str">
        <x:v>2026-09-13</x:v>
      </x:c>
      <x:c r="N34" s="13" t="str">
        <x:v>Mechanical reader/target provision only now; a PWM command is not measured input motion.</x:v>
      </x:c>
      <x:c r="O34" s="13" t="str">
        <x:v>Sensors</x:v>
      </x:c>
    </x:row>
    <x:row r="35" ht="66" customHeight="1">
      <x:c r="A35" s="13" t="str">
        <x:v>H02</x:v>
      </x:c>
      <x:c r="B35" s="13" t="str">
        <x:v>Battery straps / harness / strain relief
Exact sizes pending</x:v>
      </x:c>
      <x:c r="C35" s="13" t="str">
        <x:v>HOLD</x:v>
      </x:c>
      <x:c r="D35" s="15"/>
      <x:c r="E35" s="15" t="n">
        <x:v>0</x:v>
      </x:c>
      <x:c r="F35" s="15"/>
      <x:c r="G35" s="15" t="n">
        <x:v>0</x:v>
      </x:c>
      <x:c r="H35" s="15" t="n">
        <x:f>IF(E35=0,0,MAX(E35-F35-G35,0))</x:f>
        <x:v>0</x:v>
      </x:c>
      <x:c r="I35" s="15" t="n">
        <x:v>1</x:v>
      </x:c>
      <x:c r="J35" s="16"/>
      <x:c r="K35" s="17" t="n">
        <x:f>IF(H35=0,0,IF(ISNUMBER(J35),ROUNDUP(H35/I35,0)*J35,""))</x:f>
        <x:v>0</x:v>
      </x:c>
      <x:c r="L35" s="18" t="str"/>
      <x:c r="M35" s="19" t="str">
        <x:v>2026-09-13</x:v>
      </x:c>
      <x:c r="N35" s="13" t="str">
        <x:v>Wiring is a physical part of package. Use soldered sensor pigtails with remote removable connectors as starting route.</x:v>
      </x:c>
      <x:c r="O35" s="13" t="str">
        <x:v>Hardware</x:v>
      </x:c>
    </x:row>
    <x:row r="36" ht="66" customHeight="1">
      <x:c r="A36" s="13" t="str">
        <x:v>H03</x:v>
      </x:c>
      <x:c r="B36" s="13" t="str">
        <x:v>Charging contacts and retained panel
Two contacts; product pending</x:v>
      </x:c>
      <x:c r="C36" s="13" t="str">
        <x:v>HOLD</x:v>
      </x:c>
      <x:c r="D36" s="15" t="n">
        <x:v>2</x:v>
      </x:c>
      <x:c r="E36" s="15" t="n">
        <x:v>0</x:v>
      </x:c>
      <x:c r="F36" s="15" t="n">
        <x:v>0</x:v>
      </x:c>
      <x:c r="G36" s="15" t="n">
        <x:v>0</x:v>
      </x:c>
      <x:c r="H36" s="15" t="n">
        <x:f>IF(E36=0,0,MAX(E36-F36-G36,0))</x:f>
        <x:v>0</x:v>
      </x:c>
      <x:c r="I36" s="15" t="n">
        <x:v>1</x:v>
      </x:c>
      <x:c r="J36" s="16"/>
      <x:c r="K36" s="17" t="n">
        <x:f>IF(H36=0,0,IF(ISNUMBER(J36),ROUNDUP(H36/I36,0)*J36,""))</x:f>
        <x:v>0</x:v>
      </x:c>
      <x:c r="L36" s="18" t="str"/>
      <x:c r="M36" s="19" t="str">
        <x:v>2026-09-13</x:v>
      </x:c>
      <x:c r="N36" s="13" t="str">
        <x:v>Rear/lower accessible inset panel; spring travel, recess and purchased contact size pending. Electrical charging design deferred.</x:v>
      </x:c>
      <x:c r="O36" s="13" t="str">
        <x:v>Hardware</x:v>
      </x:c>
    </x:row>
    <x:row r="37" ht="66" customHeight="1">
      <x:c r="A37" s="13" t="str">
        <x:v>E04</x:v>
      </x:c>
      <x:c r="B37" s="13" t="str">
        <x:v>Power and protection hardware
Products intentionally deferred</x:v>
      </x:c>
      <x:c r="C37" s="13" t="str">
        <x:v>HOLD</x:v>
      </x:c>
      <x:c r="D37" s="15"/>
      <x:c r="E37" s="15" t="n">
        <x:v>0</x:v>
      </x:c>
      <x:c r="F37" s="15"/>
      <x:c r="G37" s="15" t="n">
        <x:v>0</x:v>
      </x:c>
      <x:c r="H37" s="15" t="n">
        <x:f>IF(E37=0,0,MAX(E37-F37-G37,0))</x:f>
        <x:v>0</x:v>
      </x:c>
      <x:c r="I37" s="15" t="n">
        <x:v>1</x:v>
      </x:c>
      <x:c r="J37" s="16"/>
      <x:c r="K37" s="17" t="n">
        <x:f>IF(H37=0,0,IF(ISNUMBER(J37),ROUNDUP(H37/I37,0)*J37,""))</x:f>
        <x:v>0</x:v>
      </x:c>
      <x:c r="L37" s="18" t="str"/>
      <x:c r="M37" s="19" t="str">
        <x:v>2026-09-13</x:v>
      </x:c>
      <x:c r="N37" s="13" t="str">
        <x:v>Actuator disconnect, protection, separate branches and charge hardware must eventually fit. Not counted as zero mass or zero cost.</x:v>
      </x:c>
      <x:c r="O37" s="13" t="str">
        <x:v>Electronics</x:v>
      </x:c>
    </x:row>
    <x:row r="38" ht="66" customHeight="1">
      <x:c r="A38" s="13" t="str">
        <x:v>H04</x:v>
      </x:c>
      <x:c r="B38" s="13" t="str">
        <x:v>Wheel-to-hub socket screws
M4x10, ISO4762 / goBILDA2800-0004-0010</x:v>
      </x:c>
      <x:c r="C38" s="13" t="str">
        <x:v>DEFER WHEEL</x:v>
      </x:c>
      <x:c r="D38" s="15" t="n">
        <x:v>8</x:v>
      </x:c>
      <x:c r="E38" s="15" t="n">
        <x:v>0</x:v>
      </x:c>
      <x:c r="F38" s="15"/>
      <x:c r="G38" s="15" t="n">
        <x:v>0</x:v>
      </x:c>
      <x:c r="H38" s="15" t="n">
        <x:f>IF(E38=0,0,MAX(E38-F38-G38,0))</x:f>
        <x:v>0</x:v>
      </x:c>
      <x:c r="I38" s="15" t="n">
        <x:v>1</x:v>
      </x:c>
      <x:c r="J38" s="16"/>
      <x:c r="K38" s="17" t="n">
        <x:f>IF(H38=0,0,IF(ISNUMBER(J38),ROUNDUP(H38/I38,0)*J38,""))</x:f>
        <x:v>0</x:v>
      </x:c>
      <x:c r="L38" s="18" t="str">
        <x:v>https://www.gobilda.com/m4-socket-head-screws</x:v>
      </x:c>
      <x:c r="M38" s="19" t="str">
        <x:v>2026-09-13</x:v>
      </x:c>
      <x:c r="N38" s="13" t="str">
        <x:v>Wheel/tire selection and printing deferred by user. Four per wheel. 5 mm nominal engagement with 5 mm web; verify actual hub and no bottoming. Price/pack choice pending.</x:v>
      </x:c>
      <x:c r="O38" s="13" t="str">
        <x:v>Wheel hardware</x:v>
      </x:c>
    </x:row>
    <x:row r="39" ht="66" customHeight="1">
      <x:c r="A39" s="13" t="str">
        <x:v>H05</x:v>
      </x:c>
      <x:c r="B39" s="13" t="str">
        <x:v>Recessed bead-retainer socket screws
M4x35 ISO4762; Accu SSC-M4-35-A2-R360 reference</x:v>
      </x:c>
      <x:c r="C39" s="13" t="str">
        <x:v>DEFER WHEEL</x:v>
      </x:c>
      <x:c r="D39" s="15" t="n">
        <x:v>16</x:v>
      </x:c>
      <x:c r="E39" s="15" t="n">
        <x:v>0</x:v>
      </x:c>
      <x:c r="F39" s="15"/>
      <x:c r="G39" s="15" t="n">
        <x:v>0</x:v>
      </x:c>
      <x:c r="H39" s="15" t="n">
        <x:f>IF(E39=0,0,MAX(E39-F39-G39,0))</x:f>
        <x:v>0</x:v>
      </x:c>
      <x:c r="I39" s="15" t="n">
        <x:v>1</x:v>
      </x:c>
      <x:c r="J39" s="16"/>
      <x:c r="K39" s="17" t="n">
        <x:f>IF(H39=0,0,IF(ISNUMBER(J39),ROUNDUP(H39/I39,0)*J39,""))</x:f>
        <x:v>0</x:v>
      </x:c>
      <x:c r="L39" s="18" t="str">
        <x:v>https://www.accu.co.uk/metric-cap-head-screws/250081-SSC-M4-35-A2-R360</x:v>
      </x:c>
      <x:c r="M39" s="19" t="str">
        <x:v>2026-09-13</x:v>
      </x:c>
      <x:c r="N39" s="13" t="str">
        <x:v>Wheel/tire selection and printing deferred by user. Eight per wheel. Nominal7 mm head diameter and4 mm height; head ends atY149.5, shaft tipY110.5. No washers in current stack. Pack/price unconfirmed.</x:v>
      </x:c>
      <x:c r="O39" s="13" t="str">
        <x:v>Wheel hardware</x:v>
      </x:c>
    </x:row>
    <x:row r="40" ht="66" customHeight="1">
      <x:c r="A40" s="13" t="str">
        <x:v>H06</x:v>
      </x:c>
      <x:c r="B40" s="13" t="str">
        <x:v>Captured wheel bead-retainer nuts
M4x0.7 ISO4032 plain hex;7 mm AF,3.2 mm thickness reference</x:v>
      </x:c>
      <x:c r="C40" s="13" t="str">
        <x:v>DEFER WHEEL</x:v>
      </x:c>
      <x:c r="D40" s="15" t="n">
        <x:v>16</x:v>
      </x:c>
      <x:c r="E40" s="15" t="n">
        <x:v>0</x:v>
      </x:c>
      <x:c r="F40" s="15"/>
      <x:c r="G40" s="15" t="n">
        <x:v>0</x:v>
      </x:c>
      <x:c r="H40" s="15" t="n">
        <x:f>IF(E40=0,0,MAX(E40-F40-G40,0))</x:f>
        <x:v>0</x:v>
      </x:c>
      <x:c r="I40" s="15" t="n">
        <x:v>1</x:v>
      </x:c>
      <x:c r="J40" s="16"/>
      <x:c r="K40" s="17" t="n">
        <x:f>IF(H40=0,0,IF(ISNUMBER(J40),ROUNDUP(H40/I40,0)*J40,""))</x:f>
        <x:v>0</x:v>
      </x:c>
      <x:c r="L40" s="18" t="str"/>
      <x:c r="M40" s="19" t="str">
        <x:v>2026-09-13</x:v>
      </x:c>
      <x:c r="N40" s="13" t="str">
        <x:v>Wheel/tire selection and printing deferred by user. Eight per wheel. Fit in7.3 mm AF pockets; verify nut lot dimensions. Mechanical witness marks for unpowered fit; locking method for operation remains to qualify.</x:v>
      </x:c>
      <x:c r="O40" s="13" t="str">
        <x:v>Wheel hardware</x:v>
      </x:c>
    </x:row>
    <x:row r="41" ht="100" customHeight="1">
      <x:c r="A41" s="13" t="str">
        <x:v>P06</x:v>
      </x:c>
      <x:c r="B41" s="13" t="str">
        <x:v>Reusable vehicle drive end section + input spine
drive-end-section.nbcad; PETG fit candidate</x:v>
      </x:c>
      <x:c r="C41" s="13" t="str">
        <x:v>FIT REVIEW</x:v>
      </x:c>
      <x:c r="D41" s="15" t="n">
        <x:v>2</x:v>
      </x:c>
      <x:c r="E41" s="15" t="n">
        <x:v>1</x:v>
      </x:c>
      <x:c r="F41" s="15" t="n">
        <x:v>0</x:v>
      </x:c>
      <x:c r="G41" s="15" t="n">
        <x:v>0</x:v>
      </x:c>
      <x:c r="H41" s="15" t="n">
        <x:f>IF(E41=0,0,MAX(E41-F41-G41,0))</x:f>
        <x:v>1</x:v>
      </x:c>
      <x:c r="I41" s="15" t="n">
        <x:v>1</x:v>
      </x:c>
      <x:c r="J41" s="16"/>
      <x:c r="K41" s="17" t="str">
        <x:f>IF(H41=0,0,IF(ISNUMBER(J41),ROUNDUP(H41/I41,0)*J41,""))</x:f>
      </x:c>
      <x:c r="L41" s="18" t="str">
        <x:v>Local native CAD: drive-end-section.nbcad</x:v>
      </x:c>
      <x:c r="M41" s="19" t="str">
        <x:v>2026-09-13</x:v>
      </x:c>
      <x:c r="N41" s="13" t="str">
        <x:v>Two structural meshes supplied for unpowered fit review after bearing coupon. Same carrier clamps for testing and bolts to the drum. Caps/saddle/guard/shaft interfaces still need completion before a powered assembly.</x:v>
      </x:c>
      <x:c r="O41" s="13" t="str">
        <x:v>Printed drive</x:v>
      </x:c>
    </x:row>
  </x:sheetData>
  <x:mergeCells>
    <x:mergeCell ref="A1:O1"/>
    <x:mergeCell ref="A2:O2"/>
    <x:mergeCell ref="A3:D3"/>
    <x:mergeCell ref="F3:O3"/>
    <x:mergeCell ref="A4:O4"/>
    <x:mergeCell ref="A5:O5"/>
    <x:mergeCell ref="A6:O6"/>
    <x:mergeCell ref="A7:O7"/>
  </x:mergeCells>
  <x:conditionalFormatting sqref="C10:C41">
    <x:cfRule type="containsText" dxfId="0" priority="1" operator="containsText" text="HOLD"/>
    <x:cfRule type="containsText" dxfId="1" priority="2" operator="containsText" text="BUY"/>
    <x:cfRule type="containsText" dxfId="2" priority="3" operator="containsText" text="OWNED"/>
  </x:conditionalFormatting>
  <x:dataValidations count="1">
    <x:dataValidation type="whole" operator="between" sqref="E10:G41">
      <x:formula1>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3a2c94565e6429f"/>
  </x:tableParts>
</x:worksheet>
</file>